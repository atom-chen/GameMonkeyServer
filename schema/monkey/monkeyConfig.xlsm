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gameServer\schema\"/>
    </mc:Choice>
  </mc:AlternateContent>
  <bookViews>
    <workbookView xWindow="0" yWindow="0" windowWidth="28065" windowHeight="13650" tabRatio="727"/>
  </bookViews>
  <sheets>
    <sheet name="noteTotal" sheetId="1" r:id="rId1"/>
    <sheet name="m_TollgateConfig" sheetId="16" r:id="rId2"/>
    <sheet name="m_PurchaseConfig" sheetId="15" r:id="rId3"/>
    <sheet name="a_ActionConfig" sheetId="14" r:id="rId4"/>
    <sheet name="a_professionList" sheetId="12" r:id="rId5"/>
    <sheet name="a_skillList" sheetId="10" r:id="rId6"/>
    <sheet name="a_HeroList" sheetId="5" r:id="rId7"/>
    <sheet name="m_task" sheetId="7" r:id="rId8"/>
    <sheet name="m_pShops" sheetId="8" r:id="rId9"/>
    <sheet name="a_pGoods" sheetId="9" r:id="rId10"/>
    <sheet name="a_pTechList" sheetId="3" r:id="rId11"/>
    <sheet name="a_pTotemList" sheetId="4" r:id="rId12"/>
    <sheet name="a_pCPetList" sheetId="6" r:id="rId13"/>
    <sheet name="a_MonsterList" sheetId="17" r:id="rId14"/>
  </sheets>
  <calcPr calcId="152511"/>
</workbook>
</file>

<file path=xl/calcChain.xml><?xml version="1.0" encoding="utf-8"?>
<calcChain xmlns="http://schemas.openxmlformats.org/spreadsheetml/2006/main">
  <c r="D5" i="3" l="1"/>
  <c r="D4" i="3"/>
  <c r="I5" i="5" l="1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4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I3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4" i="5"/>
  <c r="F3" i="5"/>
  <c r="B39" i="5"/>
  <c r="B40" i="5"/>
  <c r="B41" i="5"/>
  <c r="B38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3" i="5"/>
  <c r="D39" i="5"/>
  <c r="D40" i="5"/>
  <c r="D41" i="5"/>
  <c r="D38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3" i="5"/>
  <c r="G73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38" i="5"/>
  <c r="G137" i="5" s="1"/>
  <c r="F9" i="6" l="1"/>
  <c r="D9" i="6"/>
  <c r="C9" i="6"/>
  <c r="F8" i="6"/>
  <c r="D8" i="6"/>
  <c r="C8" i="6"/>
  <c r="F7" i="6"/>
  <c r="D7" i="6"/>
  <c r="C7" i="6"/>
  <c r="F6" i="6"/>
  <c r="D6" i="6"/>
  <c r="C6" i="6"/>
  <c r="F5" i="6"/>
  <c r="D5" i="6"/>
  <c r="C5" i="6"/>
  <c r="F4" i="6"/>
  <c r="D4" i="6"/>
  <c r="C4" i="6"/>
  <c r="F3" i="6"/>
  <c r="D3" i="6"/>
  <c r="C3" i="6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3" i="3"/>
  <c r="J21" i="7"/>
  <c r="B42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D42" i="5" l="1"/>
</calcChain>
</file>

<file path=xl/sharedStrings.xml><?xml version="1.0" encoding="utf-8"?>
<sst xmlns="http://schemas.openxmlformats.org/spreadsheetml/2006/main" count="1035" uniqueCount="818">
  <si>
    <t>Monkey配置总表</t>
  </si>
  <si>
    <t>V1.0 2018.1.2</t>
  </si>
  <si>
    <t>配置表名称</t>
  </si>
  <si>
    <t>说明</t>
  </si>
  <si>
    <t>法宝配置</t>
  </si>
  <si>
    <t>包含25个法宝的配置信息，包括战斗力、升级费用、加持效果等内容</t>
  </si>
  <si>
    <t>图腾配置</t>
  </si>
  <si>
    <t>图腾配置信息</t>
  </si>
  <si>
    <t>PVP英雄配置</t>
  </si>
  <si>
    <t>魔宠配置信息</t>
  </si>
  <si>
    <t>PVE伙伴配置</t>
  </si>
  <si>
    <t>PVE战宠的配置信息，目前一共有7个战宠</t>
  </si>
  <si>
    <t>任务配置</t>
  </si>
  <si>
    <t>包含每日任务、主线任务、循环任务的配置信息</t>
  </si>
  <si>
    <t>商店配置</t>
  </si>
  <si>
    <t>不同类型的商店的配置信息</t>
  </si>
  <si>
    <t>商品配置</t>
  </si>
  <si>
    <t>所有商品条目的配置信息</t>
  </si>
  <si>
    <t>英雄职业配置</t>
  </si>
  <si>
    <t>英雄技能配置</t>
  </si>
  <si>
    <t>时效技能配置</t>
  </si>
  <si>
    <t>编号</t>
  </si>
  <si>
    <t>怪物数量</t>
  </si>
  <si>
    <t>id</t>
  </si>
  <si>
    <t>baseMonsterNum</t>
  </si>
  <si>
    <t>价格</t>
  </si>
  <si>
    <t>参数区</t>
  </si>
  <si>
    <t>price</t>
  </si>
  <si>
    <t>desc</t>
  </si>
  <si>
    <t>分配圣光1次</t>
  </si>
  <si>
    <t>直销商品配置表</t>
  </si>
  <si>
    <t>开始挂机1次</t>
  </si>
  <si>
    <t>结束挂机1次</t>
  </si>
  <si>
    <t>消除主动技能的CD 1次</t>
  </si>
  <si>
    <t>强制完成任务1次</t>
  </si>
  <si>
    <t>抽卡1次</t>
  </si>
  <si>
    <t>类型</t>
  </si>
  <si>
    <t>名称</t>
  </si>
  <si>
    <t>效果</t>
  </si>
  <si>
    <t>有效期</t>
  </si>
  <si>
    <t>冷却期</t>
  </si>
  <si>
    <t>描述</t>
  </si>
  <si>
    <t>type</t>
  </si>
  <si>
    <t>name</t>
  </si>
  <si>
    <t>effects</t>
  </si>
  <si>
    <t>expired</t>
  </si>
  <si>
    <t>coolDown</t>
  </si>
  <si>
    <t>主动出击</t>
  </si>
  <si>
    <t>30,10</t>
  </si>
  <si>
    <t>每秒自动点击10次</t>
  </si>
  <si>
    <t>双重打击</t>
  </si>
  <si>
    <t>31,1</t>
  </si>
  <si>
    <t>主角伤害+100%</t>
  </si>
  <si>
    <t>幸运之光</t>
  </si>
  <si>
    <t>25,0.25</t>
  </si>
  <si>
    <t>宠物暴击率+25%</t>
  </si>
  <si>
    <t>黄金季节</t>
  </si>
  <si>
    <t>5,1</t>
  </si>
  <si>
    <t>每一击都掉落铜钱</t>
  </si>
  <si>
    <t>千手之力</t>
  </si>
  <si>
    <t>33,1</t>
  </si>
  <si>
    <t>宠物伤害+100%</t>
  </si>
  <si>
    <t>莽荒之力</t>
  </si>
  <si>
    <t>34,1</t>
  </si>
  <si>
    <t>主角攻击速度+100%</t>
  </si>
  <si>
    <t>鼓舞</t>
  </si>
  <si>
    <t>万金</t>
  </si>
  <si>
    <t>48,1</t>
  </si>
  <si>
    <t>战斗属性</t>
  </si>
  <si>
    <t>攻击</t>
  </si>
  <si>
    <t>防御</t>
  </si>
  <si>
    <t>攻击模式</t>
  </si>
  <si>
    <t>连击:攻击模式,攻击倍数</t>
  </si>
  <si>
    <t>BP</t>
  </si>
  <si>
    <t>attack</t>
  </si>
  <si>
    <t>defense</t>
  </si>
  <si>
    <t>attackMode</t>
  </si>
  <si>
    <t>combo</t>
  </si>
  <si>
    <r>
      <rPr>
        <sz val="9"/>
        <color theme="1"/>
        <rFont val="宋体"/>
        <charset val="134"/>
      </rPr>
      <t>1</t>
    </r>
    <r>
      <rPr>
        <sz val="9"/>
        <color theme="1"/>
        <rFont val="宋体"/>
        <charset val="134"/>
      </rPr>
      <t>,1</t>
    </r>
  </si>
  <si>
    <t>1,0</t>
  </si>
  <si>
    <t>法术牌</t>
  </si>
  <si>
    <t>1,3</t>
  </si>
  <si>
    <t>魔，战士</t>
  </si>
  <si>
    <r>
      <rPr>
        <sz val="9"/>
        <color theme="1"/>
        <rFont val="宋体"/>
        <charset val="134"/>
      </rPr>
      <t>3</t>
    </r>
    <r>
      <rPr>
        <sz val="9"/>
        <color theme="1"/>
        <rFont val="宋体"/>
        <charset val="134"/>
      </rPr>
      <t>,0.5</t>
    </r>
  </si>
  <si>
    <t>5,1.5</t>
  </si>
  <si>
    <t>神，法师</t>
  </si>
  <si>
    <r>
      <rPr>
        <sz val="9"/>
        <color theme="1"/>
        <rFont val="宋体"/>
        <charset val="134"/>
      </rPr>
      <t>4</t>
    </r>
    <r>
      <rPr>
        <sz val="9"/>
        <color theme="1"/>
        <rFont val="宋体"/>
        <charset val="134"/>
      </rPr>
      <t>,0.5</t>
    </r>
  </si>
  <si>
    <t>3,2</t>
  </si>
  <si>
    <t>仙，牧师</t>
  </si>
  <si>
    <t>技能类型</t>
  </si>
  <si>
    <t>费用</t>
  </si>
  <si>
    <t>变参</t>
  </si>
  <si>
    <t>发动时机</t>
  </si>
  <si>
    <t>五行属性</t>
  </si>
  <si>
    <t>技能描述</t>
  </si>
  <si>
    <t>类型编号</t>
  </si>
  <si>
    <r>
      <rPr>
        <sz val="9"/>
        <color theme="1"/>
        <rFont val="宋体"/>
        <charset val="134"/>
      </rPr>
      <t>t</t>
    </r>
    <r>
      <rPr>
        <sz val="9"/>
        <color theme="1"/>
        <rFont val="宋体"/>
        <charset val="134"/>
      </rPr>
      <t>id</t>
    </r>
  </si>
  <si>
    <t>fee</t>
  </si>
  <si>
    <t>baseValue</t>
  </si>
  <si>
    <t>change</t>
  </si>
  <si>
    <t>nature</t>
  </si>
  <si>
    <t>SkillType</t>
  </si>
  <si>
    <t>TypeId</t>
  </si>
  <si>
    <t>Desc</t>
  </si>
  <si>
    <r>
      <rPr>
        <sz val="9"/>
        <color theme="1"/>
        <rFont val="宋体"/>
        <charset val="134"/>
      </rPr>
      <t>{</t>
    </r>
    <r>
      <rPr>
        <sz val="9"/>
        <color theme="1"/>
        <rFont val="宋体"/>
        <charset val="134"/>
      </rPr>
      <t>}</t>
    </r>
  </si>
  <si>
    <t>Counter</t>
  </si>
  <si>
    <t>Attack</t>
  </si>
  <si>
    <t>恢复</t>
  </si>
  <si>
    <t>Recover</t>
  </si>
  <si>
    <t>Encourage</t>
  </si>
  <si>
    <t>ConfuseAttack</t>
  </si>
  <si>
    <t>系统-混乱状态下发动的攻击</t>
  </si>
  <si>
    <r>
      <rPr>
        <sz val="9"/>
        <color theme="1"/>
        <rFont val="宋体"/>
        <charset val="134"/>
      </rPr>
      <t>6</t>
    </r>
    <r>
      <rPr>
        <sz val="9"/>
        <color theme="1"/>
        <rFont val="宋体"/>
        <charset val="134"/>
      </rPr>
      <t>,7</t>
    </r>
  </si>
  <si>
    <t>JianCi</t>
  </si>
  <si>
    <t>神佑</t>
  </si>
  <si>
    <t>Blood</t>
  </si>
  <si>
    <t>Alive</t>
  </si>
  <si>
    <t>救助进入濒死状态的队友</t>
  </si>
  <si>
    <t>Illusion</t>
  </si>
  <si>
    <t>血咒</t>
  </si>
  <si>
    <t>XueZhou</t>
  </si>
  <si>
    <t>嗜血</t>
  </si>
  <si>
    <t>BloodRecover</t>
  </si>
  <si>
    <t>GodBless</t>
  </si>
  <si>
    <t>Summon</t>
  </si>
  <si>
    <t>召唤</t>
  </si>
  <si>
    <r>
      <rPr>
        <sz val="9"/>
        <color theme="1"/>
        <rFont val="宋体"/>
        <charset val="134"/>
      </rPr>
      <t>1</t>
    </r>
    <r>
      <rPr>
        <sz val="9"/>
        <color theme="1"/>
        <rFont val="宋体"/>
        <charset val="134"/>
      </rPr>
      <t>,2</t>
    </r>
  </si>
  <si>
    <t>献祭</t>
  </si>
  <si>
    <t>XianJi</t>
  </si>
  <si>
    <t>QuSan</t>
  </si>
  <si>
    <t>追击，消灭一个敌人时，再次发起攻击</t>
  </si>
  <si>
    <t>LiZhi</t>
  </si>
  <si>
    <t>芭蕉扇</t>
  </si>
  <si>
    <t>DongCha</t>
  </si>
  <si>
    <t>求生</t>
  </si>
  <si>
    <t>BeDead</t>
  </si>
  <si>
    <t>{\"type\":501,\"val\":0.05}</t>
  </si>
  <si>
    <t>提升%d的全体攻击力</t>
  </si>
  <si>
    <t>三昧真火</t>
  </si>
  <si>
    <t>辟火罩</t>
  </si>
  <si>
    <t>白玉盂儿</t>
  </si>
  <si>
    <t>团结</t>
  </si>
  <si>
    <t>{\"cd\":1}</t>
  </si>
  <si>
    <t>降低法术费用</t>
  </si>
  <si>
    <t>Unity</t>
  </si>
  <si>
    <t>{\"type\":511,\"val\":1}</t>
  </si>
  <si>
    <t>感悟</t>
  </si>
  <si>
    <t>降低全局法术费用1点</t>
  </si>
  <si>
    <t>Enchant</t>
  </si>
  <si>
    <r>
      <rPr>
        <sz val="9"/>
        <color theme="1"/>
        <rFont val="宋体"/>
        <charset val="134"/>
      </rPr>
      <t>{\"s</t>
    </r>
    <r>
      <rPr>
        <sz val="9"/>
        <color theme="1"/>
        <rFont val="宋体"/>
        <charset val="134"/>
      </rPr>
      <t>id</t>
    </r>
    <r>
      <rPr>
        <sz val="9"/>
        <color theme="1"/>
        <rFont val="宋体"/>
        <charset val="134"/>
      </rPr>
      <t>\"</t>
    </r>
    <r>
      <rPr>
        <sz val="9"/>
        <color theme="1"/>
        <rFont val="宋体"/>
        <charset val="134"/>
      </rPr>
      <t>:39}</t>
    </r>
  </si>
  <si>
    <t>亡语：附加芭蕉扇技能</t>
  </si>
  <si>
    <t>Attach</t>
  </si>
  <si>
    <t>为主角悟空追加一件装备</t>
  </si>
  <si>
    <t>偷师</t>
  </si>
  <si>
    <t>Study</t>
  </si>
  <si>
    <t>顿悟</t>
  </si>
  <si>
    <t>Insight</t>
  </si>
  <si>
    <t>三头六臂</t>
  </si>
  <si>
    <t>火尖枪</t>
  </si>
  <si>
    <t>枪头喷出大量火焰，对一列敌人造成大量火属性伤害</t>
  </si>
  <si>
    <t>{\"type\":504,\"val\":0.05}</t>
  </si>
  <si>
    <t>画地为牢</t>
  </si>
  <si>
    <t>战吼 光环 提升%d的生命峰值</t>
  </si>
  <si>
    <t>{\"val\":0.05}</t>
  </si>
  <si>
    <t>重整 金刚 变幻出万千分身，对全体敌人造成%d的金系伤害</t>
  </si>
  <si>
    <t>{\"hid\":1}</t>
  </si>
  <si>
    <t>召唤悟空</t>
  </si>
  <si>
    <t>{\"hid\":2}</t>
  </si>
  <si>
    <t>召唤桃子</t>
  </si>
  <si>
    <t>{\"hid\":3}</t>
  </si>
  <si>
    <t>召唤蟹将</t>
  </si>
  <si>
    <t>{\"hid\":4}</t>
  </si>
  <si>
    <t>召唤童女</t>
  </si>
  <si>
    <t>{\"hid\":5}</t>
  </si>
  <si>
    <t>召唤黑熊精</t>
  </si>
  <si>
    <t>{\"hid\":6}</t>
  </si>
  <si>
    <t>召唤白骨精</t>
  </si>
  <si>
    <t>{\"hid\":7}</t>
  </si>
  <si>
    <t>召唤奔波儿灞</t>
  </si>
  <si>
    <t>{\"hid\":8}</t>
  </si>
  <si>
    <t>召唤哪吒</t>
  </si>
  <si>
    <t>{\"hid\":9}</t>
  </si>
  <si>
    <t>召唤紫金钵</t>
  </si>
  <si>
    <t>{\"hid\":10}</t>
  </si>
  <si>
    <t>召唤东土圣僧</t>
  </si>
  <si>
    <t>备注</t>
  </si>
  <si>
    <t>1、baseValue代表该技能的附加参数。例如，召唤术中代表了准备召唤的英雄编号，索引自HeroList</t>
  </si>
  <si>
    <t>2、rare代表技能稀缺度。例如，召唤铁扇公主的技能稀缺度为1，而召唤真·铁扇公主的技能稀缺度为3</t>
  </si>
  <si>
    <t>3、战吼技能费用必须配置为0</t>
  </si>
  <si>
    <t>NotifyEnum</t>
  </si>
  <si>
    <t>NotifyName</t>
  </si>
  <si>
    <t>NotifyDesc</t>
  </si>
  <si>
    <t>AttackMode</t>
  </si>
  <si>
    <t>无</t>
  </si>
  <si>
    <t>Head</t>
  </si>
  <si>
    <t>单体攻击，攻击纵向第一个</t>
  </si>
  <si>
    <t>Back</t>
  </si>
  <si>
    <t>单体攻击，攻击纵向最后一个</t>
  </si>
  <si>
    <t>受伤</t>
  </si>
  <si>
    <t>受到单体伤害时</t>
  </si>
  <si>
    <t>Column</t>
  </si>
  <si>
    <t>群体攻击，纵向</t>
  </si>
  <si>
    <t>群伤</t>
  </si>
  <si>
    <t>受到群体伤害时</t>
  </si>
  <si>
    <t>Row</t>
  </si>
  <si>
    <t>群体攻击，横向</t>
  </si>
  <si>
    <t>亡语</t>
  </si>
  <si>
    <t>死亡时</t>
  </si>
  <si>
    <t>All</t>
  </si>
  <si>
    <t>全体攻击</t>
  </si>
  <si>
    <t>攻</t>
  </si>
  <si>
    <t>发动单体攻击时</t>
  </si>
  <si>
    <t>Single</t>
  </si>
  <si>
    <t>己方单体</t>
  </si>
  <si>
    <t>重整</t>
  </si>
  <si>
    <t>重新获得控制权时</t>
  </si>
  <si>
    <t>Our</t>
  </si>
  <si>
    <t>己方全部</t>
  </si>
  <si>
    <t>单伤</t>
  </si>
  <si>
    <t>造成单体伤害时</t>
  </si>
  <si>
    <t>反击，针对对自己造成伤害的英雄进行反击</t>
  </si>
  <si>
    <t>造成群体伤害时</t>
  </si>
  <si>
    <t>Confusion</t>
  </si>
  <si>
    <t>混乱攻击，选择下一个行动的己方英雄</t>
  </si>
  <si>
    <t>风</t>
  </si>
  <si>
    <t>发动风属性攻击时</t>
  </si>
  <si>
    <t>Me</t>
  </si>
  <si>
    <t>当前施法英雄</t>
  </si>
  <si>
    <t>战吼</t>
  </si>
  <si>
    <t>英雄入场时</t>
  </si>
  <si>
    <t>RandomEnemy</t>
  </si>
  <si>
    <t>随机敌军</t>
  </si>
  <si>
    <t>RandomOur</t>
  </si>
  <si>
    <t>随机友军</t>
  </si>
  <si>
    <t>随机敌军3名</t>
  </si>
  <si>
    <t>灭</t>
  </si>
  <si>
    <t>消灭一个敌人时</t>
  </si>
  <si>
    <t>RandomOur3</t>
  </si>
  <si>
    <t>随机友军3名</t>
  </si>
  <si>
    <t>群</t>
  </si>
  <si>
    <t>发动群体攻击时</t>
  </si>
  <si>
    <t>疗伤</t>
  </si>
  <si>
    <t>成功治疗时</t>
  </si>
  <si>
    <t>生命值上升时</t>
  </si>
  <si>
    <t>进阶费用</t>
  </si>
  <si>
    <t>强化费用</t>
  </si>
  <si>
    <t>品质</t>
  </si>
  <si>
    <t>掉率</t>
  </si>
  <si>
    <t>对应的召唤术</t>
  </si>
  <si>
    <t>站位</t>
  </si>
  <si>
    <t>职业</t>
  </si>
  <si>
    <t>攻防比</t>
  </si>
  <si>
    <t>品质取值范围</t>
  </si>
  <si>
    <t>碎片消耗基数</t>
  </si>
  <si>
    <t>碎片消耗成长</t>
  </si>
  <si>
    <t>effect</t>
  </si>
  <si>
    <t>adv</t>
  </si>
  <si>
    <t>enhance</t>
  </si>
  <si>
    <t>chipPower</t>
  </si>
  <si>
    <t>rtype</t>
  </si>
  <si>
    <t>rate</t>
  </si>
  <si>
    <t>boot</t>
  </si>
  <si>
    <t>locStr</t>
  </si>
  <si>
    <t>profession</t>
  </si>
  <si>
    <t>DefenseVsAttack</t>
  </si>
  <si>
    <t>chipBase</t>
  </si>
  <si>
    <t>1,1</t>
  </si>
  <si>
    <t>悟空</t>
  </si>
  <si>
    <t>桃子</t>
  </si>
  <si>
    <t>蟹将</t>
  </si>
  <si>
    <t>童女</t>
  </si>
  <si>
    <t>黑熊精</t>
  </si>
  <si>
    <t>白骨精</t>
  </si>
  <si>
    <t>奔波儿灞</t>
  </si>
  <si>
    <t>哪吒</t>
  </si>
  <si>
    <t>紫金钵</t>
  </si>
  <si>
    <t>东土圣僧</t>
  </si>
  <si>
    <t>紫金铃</t>
  </si>
  <si>
    <t>阴阳二气瓶</t>
  </si>
  <si>
    <t>金铙</t>
  </si>
  <si>
    <t>金刚琢</t>
  </si>
  <si>
    <t>紫金红葫芦</t>
  </si>
  <si>
    <t>幌金绳</t>
  </si>
  <si>
    <t>人种袋</t>
  </si>
  <si>
    <t>杨柳净瓶</t>
  </si>
  <si>
    <t>宝莲灯</t>
  </si>
  <si>
    <t>锦襕袈裟</t>
  </si>
  <si>
    <t>五彩霞衣</t>
  </si>
  <si>
    <t>般若菠萝蜜</t>
  </si>
  <si>
    <t>2、职业取值为0、1、2、3，其中0代表法术卡，1~3代表英雄卡。</t>
  </si>
  <si>
    <t>3、boot、ActionList取值自skillList。boot字段代表该英雄对应的召唤术编号，只有在profession非零时才起作用</t>
  </si>
  <si>
    <t>4、最大可升5等级数等于当前星级*20，最大99</t>
  </si>
  <si>
    <t>5、最大可升星级数等于当前品质数，最小3</t>
  </si>
  <si>
    <t>升星消耗</t>
  </si>
  <si>
    <t>专有升星碎片</t>
  </si>
  <si>
    <t>升阶消耗</t>
  </si>
  <si>
    <t>万能升阶碎片</t>
  </si>
  <si>
    <t>升级消耗</t>
  </si>
  <si>
    <t>万能升级碎片</t>
  </si>
  <si>
    <t>合计</t>
  </si>
  <si>
    <t>条件</t>
  </si>
  <si>
    <t>奖励</t>
  </si>
  <si>
    <t>前置条件</t>
  </si>
  <si>
    <t>嵌套层次</t>
  </si>
  <si>
    <t>可执行次数</t>
  </si>
  <si>
    <t>condition</t>
  </si>
  <si>
    <t>bonus</t>
  </si>
  <si>
    <t>front</t>
  </si>
  <si>
    <t>layer</t>
  </si>
  <si>
    <t>b1n</t>
  </si>
  <si>
    <t>max</t>
  </si>
  <si>
    <t>moneySum</t>
  </si>
  <si>
    <t>101,1</t>
  </si>
  <si>
    <t>刷新消耗货币</t>
  </si>
  <si>
    <t>刷新消耗数量</t>
  </si>
  <si>
    <t>同屏条目数</t>
  </si>
  <si>
    <t>刷新间隔</t>
  </si>
  <si>
    <t>mt</t>
  </si>
  <si>
    <t>money</t>
  </si>
  <si>
    <t>time</t>
  </si>
  <si>
    <t>商品编号</t>
  </si>
  <si>
    <t>归属商店</t>
  </si>
  <si>
    <t>商品类型</t>
  </si>
  <si>
    <t>商品子类型</t>
  </si>
  <si>
    <t>货物数量</t>
  </si>
  <si>
    <t>赠送数量</t>
  </si>
  <si>
    <t>限购数量</t>
  </si>
  <si>
    <t>商品名称</t>
  </si>
  <si>
    <t>热卖标记</t>
  </si>
  <si>
    <t>单价</t>
  </si>
  <si>
    <t>stype</t>
  </si>
  <si>
    <t>tid</t>
  </si>
  <si>
    <t>point</t>
  </si>
  <si>
    <t>freepoint</t>
  </si>
  <si>
    <t>flag</t>
  </si>
  <si>
    <t>元宝60</t>
  </si>
  <si>
    <t>金币6000</t>
  </si>
  <si>
    <t>5号P宠</t>
  </si>
  <si>
    <t>3000,2,500</t>
  </si>
  <si>
    <t>Fellow礼包</t>
  </si>
  <si>
    <t>Hero礼包</t>
  </si>
  <si>
    <t>前置科技ID</t>
  </si>
  <si>
    <t>前置科技等级</t>
  </si>
  <si>
    <t>威力</t>
  </si>
  <si>
    <t>加持效果</t>
  </si>
  <si>
    <t>起始战力</t>
  </si>
  <si>
    <t>战力步进</t>
  </si>
  <si>
    <t>升级费用</t>
  </si>
  <si>
    <t>pre_tech_id</t>
  </si>
  <si>
    <t>pre_tech_lv</t>
  </si>
  <si>
    <t>power</t>
  </si>
  <si>
    <t>effectStr</t>
  </si>
  <si>
    <t>ori</t>
  </si>
  <si>
    <t>step</t>
  </si>
  <si>
    <t>cost</t>
  </si>
  <si>
    <t>10,103,1;25,103,1;50,103,1;75,103,1.5;100,20,0.005;125,103,2;150,103,2;175,103,2.5</t>
  </si>
  <si>
    <t>10,103,1;25,103,1;50,103,1;75,20,0.005;100,103,1.5;125,103,2;150,103,2;175,103,2.5</t>
  </si>
  <si>
    <t>10,103,1;25,103,1;50,25,0.025;75,103,1;100,103,1.5;125,103,2;150,103,2;175,103,2.5</t>
  </si>
  <si>
    <t>10,103,1;25,103,1;50,20,0.005;75,103,1;100,103,1.5;125,103,2;150,103,2;175,103,2.5</t>
  </si>
  <si>
    <t>羊脂玉净瓶</t>
  </si>
  <si>
    <t>10,103,1;25,103,1;50,103,1;75,5,0.25;100,103,1.5;125,103,2;150,103,2;175,103,2.5</t>
  </si>
  <si>
    <t>10,103,1;25,103,1;50,103,1;75,25,0.025;100,103,1.5;125,103,2;150,103,2;175,103,2.5</t>
  </si>
  <si>
    <t>10,103,1;25,103,1;50,103,1;75,16,5;100,103,1.5;125,103,2;150,103,2;175,103,2.5</t>
  </si>
  <si>
    <t>捣药杵</t>
  </si>
  <si>
    <t>10,103,1;25,103,1;50,103,1;75,31,0.25;100,103,1.5;125,103,2;150,103,2;175,103,2.5</t>
  </si>
  <si>
    <t>如意金箍棒</t>
  </si>
  <si>
    <t>九齿钉耙</t>
  </si>
  <si>
    <t>七星剑</t>
  </si>
  <si>
    <t>定风珠</t>
  </si>
  <si>
    <t>飞龙宝杖</t>
  </si>
  <si>
    <t>玲珑宝塔</t>
  </si>
  <si>
    <t>照妖镜</t>
  </si>
  <si>
    <t>10,103,1;25,103,1;50,103,1;75,31,0.25;100,20,0.005;125,103,2;150,103,2;175,103,2.5</t>
  </si>
  <si>
    <t>紫竹篮</t>
  </si>
  <si>
    <t>10,103,1;25,103,1;50,103,1;75,5,0.25;100,20,0.005;125,103,2;150,103,2;175,103,2.5</t>
  </si>
  <si>
    <t>紫金龙</t>
  </si>
  <si>
    <t>混元珍珠伞</t>
  </si>
  <si>
    <t>碧玉琵琶</t>
  </si>
  <si>
    <t>青光宝剑</t>
  </si>
  <si>
    <t>激活条件</t>
  </si>
  <si>
    <t>最大等级</t>
  </si>
  <si>
    <t>active</t>
  </si>
  <si>
    <t>costValue</t>
  </si>
  <si>
    <t>6,1;24,1</t>
  </si>
  <si>
    <t>1,0.02,0.02</t>
  </si>
  <si>
    <t>圣光图腾</t>
  </si>
  <si>
    <t>8,1;23,1</t>
  </si>
  <si>
    <t>2,0.3,0.3</t>
  </si>
  <si>
    <t>丰饶图腾</t>
  </si>
  <si>
    <t>9,1;25,1</t>
  </si>
  <si>
    <t>3,0.05,0.05</t>
  </si>
  <si>
    <t>灵魂图腾</t>
  </si>
  <si>
    <t>1,1;11,1</t>
  </si>
  <si>
    <t>4,0.5,0.5</t>
  </si>
  <si>
    <t>收获图腾</t>
  </si>
  <si>
    <t>3,1;15,1</t>
  </si>
  <si>
    <t>5,0.05,0.05</t>
  </si>
  <si>
    <t>财富图腾</t>
  </si>
  <si>
    <t>8,1;17,1</t>
  </si>
  <si>
    <t>6,0.02,0.02</t>
  </si>
  <si>
    <t>节俭图腾</t>
  </si>
  <si>
    <t>11,1</t>
  </si>
  <si>
    <t>7,2,2</t>
  </si>
  <si>
    <t>出击加时</t>
  </si>
  <si>
    <t>12,1</t>
  </si>
  <si>
    <t>8,0.1,0.1</t>
  </si>
  <si>
    <t>继承图腾</t>
  </si>
  <si>
    <t>14,1</t>
  </si>
  <si>
    <t>9,2,1</t>
  </si>
  <si>
    <t>速度图腾</t>
  </si>
  <si>
    <t>10,1</t>
  </si>
  <si>
    <t>10,0.02,0.02</t>
  </si>
  <si>
    <t>快打重启</t>
  </si>
  <si>
    <t>3,1</t>
  </si>
  <si>
    <t>11,0.02,0.02</t>
  </si>
  <si>
    <t>千手重启</t>
  </si>
  <si>
    <t>12,0.02,0.02</t>
  </si>
  <si>
    <t>出击重启</t>
  </si>
  <si>
    <t>7,1;13,1</t>
  </si>
  <si>
    <t>13,0.002,0.002</t>
  </si>
  <si>
    <t>探索图腾</t>
  </si>
  <si>
    <t>14,2,2</t>
  </si>
  <si>
    <t>快打加时</t>
  </si>
  <si>
    <t>4,1;20,1</t>
  </si>
  <si>
    <t>15,2,2</t>
  </si>
  <si>
    <t>双打加时</t>
  </si>
  <si>
    <t>2,1</t>
  </si>
  <si>
    <t>16,0.1,0.1</t>
  </si>
  <si>
    <t>雷电图腾</t>
  </si>
  <si>
    <t>6,1;19,1</t>
  </si>
  <si>
    <t>17,0.002,0.002</t>
  </si>
  <si>
    <t>虔诚图腾</t>
  </si>
  <si>
    <t>24,1</t>
  </si>
  <si>
    <t>18,2,2</t>
  </si>
  <si>
    <t>光芒加时</t>
  </si>
  <si>
    <t>15,1</t>
  </si>
  <si>
    <t>19,0.0025,0.0025</t>
  </si>
  <si>
    <t>海盗图腾</t>
  </si>
  <si>
    <t>4,1;2,1</t>
  </si>
  <si>
    <t>20,0.0002,0.0002</t>
  </si>
  <si>
    <t>指纹图腾</t>
  </si>
  <si>
    <t>8,1;15,1</t>
  </si>
  <si>
    <t>21,0.02,0.02</t>
  </si>
  <si>
    <t>黄金重启</t>
  </si>
  <si>
    <t>1,1;12,1</t>
  </si>
  <si>
    <t>22,2,2</t>
  </si>
  <si>
    <t>黄金加时</t>
  </si>
  <si>
    <t>4,1;5,1</t>
  </si>
  <si>
    <t>23,0,0.01</t>
  </si>
  <si>
    <t>狩猎图腾</t>
  </si>
  <si>
    <t>3,1;22,1</t>
  </si>
  <si>
    <t>24,2,2</t>
  </si>
  <si>
    <t>千手加时</t>
  </si>
  <si>
    <t>25,0.005,0.005</t>
  </si>
  <si>
    <t>愤怒图腾</t>
  </si>
  <si>
    <t>10,1;21,1</t>
  </si>
  <si>
    <t>26,0.02,0.02</t>
  </si>
  <si>
    <t>双打重启</t>
  </si>
  <si>
    <t>6,1;10,1</t>
  </si>
  <si>
    <t>27,0.01,0.01</t>
  </si>
  <si>
    <t>疾病图腾</t>
  </si>
  <si>
    <t>7,1;16,1</t>
  </si>
  <si>
    <t>28,0,1</t>
  </si>
  <si>
    <t>平静图腾</t>
  </si>
  <si>
    <t>4,1;18,1</t>
  </si>
  <si>
    <t>29,0.02,0.02</t>
  </si>
  <si>
    <t>光芒重启</t>
  </si>
  <si>
    <t>激活</t>
  </si>
  <si>
    <t>激活碎片</t>
  </si>
  <si>
    <t>进阶碎片</t>
  </si>
  <si>
    <t>加持效果，达到相关等级后逐步开启</t>
  </si>
  <si>
    <t>战力升级参数</t>
  </si>
  <si>
    <t>特殊技能，上场方可生效</t>
  </si>
  <si>
    <t>步进战力</t>
  </si>
  <si>
    <t>chip</t>
  </si>
  <si>
    <r>
      <rPr>
        <sz val="9"/>
        <color theme="1"/>
        <rFont val="宋体"/>
        <charset val="134"/>
      </rPr>
      <t>a</t>
    </r>
    <r>
      <rPr>
        <sz val="9"/>
        <color theme="1"/>
        <rFont val="宋体"/>
        <charset val="134"/>
      </rPr>
      <t>dv</t>
    </r>
  </si>
  <si>
    <t>10,103,1;25,103,1;50,103,1;75,103,1.5;100,103,1.5;125,103,1.5;150,103,2;175,103,2</t>
  </si>
  <si>
    <t>游戏默认宠物，拟人的紫金钵，在攻击时会有表情</t>
  </si>
  <si>
    <r>
      <rPr>
        <sz val="9"/>
        <color theme="1"/>
        <rFont val="宋体"/>
        <charset val="134"/>
      </rPr>
      <t>30,2,0;</t>
    </r>
    <r>
      <rPr>
        <sz val="9"/>
        <color theme="1"/>
        <rFont val="宋体"/>
        <charset val="134"/>
      </rPr>
      <t>43</t>
    </r>
    <r>
      <rPr>
        <sz val="9"/>
        <color theme="1"/>
        <rFont val="宋体"/>
        <charset val="134"/>
      </rPr>
      <t>,0.1,0</t>
    </r>
  </si>
  <si>
    <t>仙石</t>
  </si>
  <si>
    <t>孕育悟空的石头，带入“原石”概念，制作拟人石人</t>
  </si>
  <si>
    <t>30,3,0;40,0.3,0;45,0.1,0.02;46,0.2,0</t>
  </si>
  <si>
    <t>卷帘大将</t>
  </si>
  <si>
    <t>沙僧形象，双手持降妖宝杖。</t>
  </si>
  <si>
    <t>30,3,0;41,0.3,0;47,0.01,0.01;27,0.2,0</t>
  </si>
  <si>
    <t>天蓬元帅</t>
  </si>
  <si>
    <t>八戒形象，大耳扇风（耳朵可夸大），双手持九齿钉耙。</t>
  </si>
  <si>
    <t>30,3,0;42,0.3,0;51,1,0;48,0.25,0</t>
  </si>
  <si>
    <t>东海太子</t>
  </si>
  <si>
    <t>东海三太子形象，头戴金冠，身着蟒袍，手持宝剑。</t>
  </si>
  <si>
    <t>30,3,0;38,0.3,0;49,1,0;6,0.25,0</t>
  </si>
  <si>
    <t>唐三藏形象，盘腿跌坐，双手合十，口念紧箍咒。</t>
  </si>
  <si>
    <t>30,5,0;39,0.3,0</t>
  </si>
  <si>
    <t>紫霞仙子</t>
  </si>
  <si>
    <t>《大话西游》内紫霞仙子形象，手持紫青宝剑，攻击姿态。</t>
  </si>
  <si>
    <t>属性</t>
  </si>
  <si>
    <t>trait</t>
  </si>
  <si>
    <t>西瓜</t>
  </si>
  <si>
    <t>梨子</t>
  </si>
  <si>
    <t>葡萄</t>
  </si>
  <si>
    <t>苹果</t>
  </si>
  <si>
    <t>虾兵（金）</t>
  </si>
  <si>
    <t>虾兵（木）</t>
  </si>
  <si>
    <t>虾兵（水）</t>
  </si>
  <si>
    <t>虾兵（火）</t>
  </si>
  <si>
    <t>虾兵（土）</t>
  </si>
  <si>
    <t>蟹将（金）</t>
  </si>
  <si>
    <t>蟹将（木）</t>
  </si>
  <si>
    <t>蟹将（水）</t>
  </si>
  <si>
    <t>蟹将（火）</t>
  </si>
  <si>
    <t>蟹将（土）</t>
  </si>
  <si>
    <t>童男</t>
  </si>
  <si>
    <t>筋斗云</t>
    <phoneticPr fontId="9" type="noConversion"/>
  </si>
  <si>
    <t>救命毫毛</t>
    <phoneticPr fontId="9" type="noConversion"/>
  </si>
  <si>
    <t>{}</t>
    <phoneticPr fontId="9" type="noConversion"/>
  </si>
  <si>
    <t>濒死</t>
    <phoneticPr fontId="9" type="noConversion"/>
  </si>
  <si>
    <t>濒死求援</t>
    <phoneticPr fontId="9" type="noConversion"/>
  </si>
  <si>
    <t>生命降为0时对外求救</t>
    <phoneticPr fontId="9" type="noConversion"/>
  </si>
  <si>
    <t>生命降为0时</t>
    <phoneticPr fontId="9" type="noConversion"/>
  </si>
  <si>
    <t>进入濒死状态时自救</t>
    <phoneticPr fontId="9" type="noConversion"/>
  </si>
  <si>
    <t>参数区</t>
    <phoneticPr fontId="9" type="noConversion"/>
  </si>
  <si>
    <t>备注：</t>
    <phoneticPr fontId="9" type="noConversion"/>
  </si>
  <si>
    <t>1、战斗属性配置串：攻击 生命 暴击 韧性 命中 闪避 精准 格挡</t>
    <phoneticPr fontId="9" type="noConversion"/>
  </si>
  <si>
    <t>200,150,200,100,100,100,100,150</t>
    <phoneticPr fontId="9" type="noConversion"/>
  </si>
  <si>
    <t>150,200,100,100,200,100,150,100</t>
    <phoneticPr fontId="9" type="noConversion"/>
  </si>
  <si>
    <t>100,100,100,250,100,250,100,100</t>
    <phoneticPr fontId="9" type="noConversion"/>
  </si>
  <si>
    <t>2、魔高攻中血高爆格挡 神中攻高血命中精准 仙高韧高闪</t>
    <phoneticPr fontId="9" type="noConversion"/>
  </si>
  <si>
    <t>蟠桃宴</t>
    <phoneticPr fontId="9" type="noConversion"/>
  </si>
  <si>
    <t>随机三名队友生命回复</t>
    <phoneticPr fontId="9" type="noConversion"/>
  </si>
  <si>
    <t>尸变</t>
    <phoneticPr fontId="9" type="noConversion"/>
  </si>
  <si>
    <r>
      <t>H</t>
    </r>
    <r>
      <rPr>
        <sz val="9"/>
        <color theme="1"/>
        <rFont val="宋体"/>
        <family val="3"/>
        <charset val="134"/>
        <scheme val="minor"/>
      </rPr>
      <t>urt</t>
    </r>
    <phoneticPr fontId="9" type="noConversion"/>
  </si>
  <si>
    <t>RandomEnemy3</t>
    <phoneticPr fontId="9" type="noConversion"/>
  </si>
  <si>
    <t>紧箍咒</t>
    <phoneticPr fontId="9" type="noConversion"/>
  </si>
  <si>
    <t>降低全体敌军士气</t>
    <phoneticPr fontId="9" type="noConversion"/>
  </si>
  <si>
    <t>全体恢复</t>
    <phoneticPr fontId="9" type="noConversion"/>
  </si>
  <si>
    <t>恢复全体友军生命</t>
    <phoneticPr fontId="9" type="noConversion"/>
  </si>
  <si>
    <t>IncreaseLocal</t>
    <phoneticPr fontId="9" type="noConversion"/>
  </si>
  <si>
    <t>IncreaseAura</t>
    <phoneticPr fontId="9" type="noConversion"/>
  </si>
  <si>
    <t>{\"type\":501,\"val\":0.2}</t>
    <phoneticPr fontId="9" type="noConversion"/>
  </si>
  <si>
    <t>{\"type\":501,\"val\":-0.2}</t>
    <phoneticPr fontId="9" type="noConversion"/>
  </si>
  <si>
    <t>降低敌方全体攻击力</t>
  </si>
  <si>
    <t>当头棒喝</t>
    <phoneticPr fontId="9" type="noConversion"/>
  </si>
  <si>
    <t>命中的敌方英雄</t>
    <phoneticPr fontId="9" type="noConversion"/>
  </si>
  <si>
    <t>AddDeBuff</t>
    <phoneticPr fontId="9" type="noConversion"/>
  </si>
  <si>
    <t>附加负面状态</t>
    <phoneticPr fontId="9" type="noConversion"/>
  </si>
  <si>
    <t>{\"type\":4,\"val\":1}</t>
    <phoneticPr fontId="9" type="noConversion"/>
  </si>
  <si>
    <t>{\"type\":8,\"val\":1}</t>
    <phoneticPr fontId="9" type="noConversion"/>
  </si>
  <si>
    <t>附加正面状态</t>
    <phoneticPr fontId="9" type="noConversion"/>
  </si>
  <si>
    <t>破甲</t>
    <phoneticPr fontId="9" type="noConversion"/>
  </si>
  <si>
    <t>{\"type\":16,\"val\":3}</t>
    <phoneticPr fontId="9" type="noConversion"/>
  </si>
  <si>
    <t>重整时满血</t>
    <phoneticPr fontId="9" type="noConversion"/>
  </si>
  <si>
    <t>重整时残血</t>
    <phoneticPr fontId="9" type="noConversion"/>
  </si>
  <si>
    <t>奋起</t>
    <phoneticPr fontId="9" type="noConversion"/>
  </si>
  <si>
    <t>昂扬</t>
    <phoneticPr fontId="9" type="noConversion"/>
  </si>
  <si>
    <t>{\"type\":9,\"val\":3}</t>
    <phoneticPr fontId="9" type="noConversion"/>
  </si>
  <si>
    <t>奋起</t>
    <phoneticPr fontId="9" type="noConversion"/>
  </si>
  <si>
    <t>残血时3倍伤害</t>
  </si>
  <si>
    <t>回春</t>
    <phoneticPr fontId="9" type="noConversion"/>
  </si>
  <si>
    <t>恢复生命时提升攻击力</t>
    <phoneticPr fontId="9" type="noConversion"/>
  </si>
  <si>
    <t>受伤时提升攻击力</t>
    <phoneticPr fontId="9" type="noConversion"/>
  </si>
  <si>
    <t>不屈</t>
    <phoneticPr fontId="9" type="noConversion"/>
  </si>
  <si>
    <t>混天绫</t>
    <phoneticPr fontId="9" type="noConversion"/>
  </si>
  <si>
    <t>战吼 免疫所有负面魔法</t>
  </si>
  <si>
    <t>乾坤圈</t>
  </si>
  <si>
    <t>每次命中必然暴击</t>
    <phoneticPr fontId="9" type="noConversion"/>
  </si>
  <si>
    <t>{\"type\":9,\"val\":5}</t>
    <phoneticPr fontId="9" type="noConversion"/>
  </si>
  <si>
    <t>提升闪避</t>
    <phoneticPr fontId="9" type="noConversion"/>
  </si>
  <si>
    <t>风火轮</t>
    <phoneticPr fontId="9" type="noConversion"/>
  </si>
  <si>
    <t>{\"type\":508,\"val\":0.1}</t>
    <phoneticPr fontId="9" type="noConversion"/>
  </si>
  <si>
    <t>Name</t>
    <phoneticPr fontId="9" type="noConversion"/>
  </si>
  <si>
    <t>反击</t>
    <phoneticPr fontId="9" type="noConversion"/>
  </si>
  <si>
    <t>暴躁</t>
    <phoneticPr fontId="9" type="noConversion"/>
  </si>
  <si>
    <t>攻击</t>
    <phoneticPr fontId="9" type="noConversion"/>
  </si>
  <si>
    <t>普通攻击</t>
    <phoneticPr fontId="9" type="noConversion"/>
  </si>
  <si>
    <t>命中方式</t>
    <phoneticPr fontId="9" type="noConversion"/>
  </si>
  <si>
    <t>反击原攻击者。发生格挡时系统会自动触发反击，不过反击和混乱攻击不会触发反击</t>
    <phoneticPr fontId="9" type="noConversion"/>
  </si>
  <si>
    <t>混乱</t>
    <phoneticPr fontId="9" type="noConversion"/>
  </si>
  <si>
    <t>重整 发动攻击</t>
    <phoneticPr fontId="9" type="noConversion"/>
  </si>
  <si>
    <t>狂暴 发动反击</t>
    <phoneticPr fontId="9" type="noConversion"/>
  </si>
  <si>
    <t>攻击</t>
    <phoneticPr fontId="9" type="noConversion"/>
  </si>
  <si>
    <t>重整 恢复下一个友军的生命</t>
    <phoneticPr fontId="9" type="noConversion"/>
  </si>
  <si>
    <t>重整 恢复下一个友军的士气</t>
    <phoneticPr fontId="9" type="noConversion"/>
  </si>
  <si>
    <t>得志 附加混乱</t>
    <phoneticPr fontId="9" type="noConversion"/>
  </si>
  <si>
    <t>得志 附加中毒</t>
    <phoneticPr fontId="9" type="noConversion"/>
  </si>
  <si>
    <t>{\"type\":3,\"val\":1}</t>
    <phoneticPr fontId="9" type="noConversion"/>
  </si>
  <si>
    <t>得志 附加眩晕</t>
    <phoneticPr fontId="9" type="noConversion"/>
  </si>
  <si>
    <t>{\"type\":18,\"val\":1}</t>
    <phoneticPr fontId="9" type="noConversion"/>
  </si>
  <si>
    <t>沮丧</t>
    <phoneticPr fontId="9" type="noConversion"/>
  </si>
  <si>
    <t>得志 附加沮丧</t>
    <phoneticPr fontId="9" type="noConversion"/>
  </si>
  <si>
    <t>咆哮</t>
    <phoneticPr fontId="9" type="noConversion"/>
  </si>
  <si>
    <t>重整 强制敌方锁定攻击自己</t>
    <phoneticPr fontId="9" type="noConversion"/>
  </si>
  <si>
    <t>{\"type\":6,\"val\":1}</t>
    <phoneticPr fontId="9" type="noConversion"/>
  </si>
  <si>
    <t>重整 随机三个友军附加神佑</t>
    <phoneticPr fontId="9" type="noConversion"/>
  </si>
  <si>
    <t>{\"type\":7,\"val\":1}</t>
    <phoneticPr fontId="9" type="noConversion"/>
  </si>
  <si>
    <t>{\"type\":5,\"val\":1}</t>
    <phoneticPr fontId="9" type="noConversion"/>
  </si>
  <si>
    <t>禁锢</t>
    <phoneticPr fontId="9" type="noConversion"/>
  </si>
  <si>
    <t>重整 随机一个敌军附加禁锢</t>
    <phoneticPr fontId="9" type="noConversion"/>
  </si>
  <si>
    <t>{\"type\":2,\"val\":1}</t>
    <phoneticPr fontId="9" type="noConversion"/>
  </si>
  <si>
    <t>求生</t>
    <phoneticPr fontId="9" type="noConversion"/>
  </si>
  <si>
    <t>全局光环</t>
    <phoneticPr fontId="9" type="noConversion"/>
  </si>
  <si>
    <t>自身光环</t>
    <phoneticPr fontId="9" type="noConversion"/>
  </si>
  <si>
    <t>重整 风怒</t>
    <phoneticPr fontId="9" type="noConversion"/>
  </si>
  <si>
    <t>{\"type\":15,\"val\":1}</t>
    <phoneticPr fontId="9" type="noConversion"/>
  </si>
  <si>
    <t>{\"type\":8,\"val\":1}</t>
    <phoneticPr fontId="9" type="noConversion"/>
  </si>
  <si>
    <t>回春 获得坚守</t>
    <phoneticPr fontId="9" type="noConversion"/>
  </si>
  <si>
    <t>圣盾</t>
    <phoneticPr fontId="9" type="noConversion"/>
  </si>
  <si>
    <t>提升属性</t>
    <phoneticPr fontId="9" type="noConversion"/>
  </si>
  <si>
    <t>{\"type\":0,\"val\":0.2}</t>
    <phoneticPr fontId="9" type="noConversion"/>
  </si>
  <si>
    <t>对全体造成%d的火系伤害，附加燃烧</t>
    <phoneticPr fontId="9" type="noConversion"/>
  </si>
  <si>
    <t>对全体造成%d的水系伤害</t>
    <phoneticPr fontId="9" type="noConversion"/>
  </si>
  <si>
    <t>紫金铃</t>
    <phoneticPr fontId="9" type="noConversion"/>
  </si>
  <si>
    <t>对全体敌方造成%d的土系伤害，附加中毒</t>
    <phoneticPr fontId="9" type="noConversion"/>
  </si>
  <si>
    <t>辟火罩</t>
    <phoneticPr fontId="9" type="noConversion"/>
  </si>
  <si>
    <t>洞察，免疫火系伤害</t>
    <phoneticPr fontId="9" type="noConversion"/>
  </si>
  <si>
    <t>{\"type\":14,\"val\":3}</t>
    <phoneticPr fontId="9" type="noConversion"/>
  </si>
  <si>
    <t>{\"type\":3,\"val\":3}</t>
    <phoneticPr fontId="9" type="noConversion"/>
  </si>
  <si>
    <t>打断敌方普通攻击，同时发起反击</t>
    <phoneticPr fontId="9" type="noConversion"/>
  </si>
  <si>
    <t>顿悟</t>
    <phoneticPr fontId="9" type="noConversion"/>
  </si>
  <si>
    <t>随机学会任意一个法术</t>
    <phoneticPr fontId="9" type="noConversion"/>
  </si>
  <si>
    <t>偷师</t>
    <phoneticPr fontId="9" type="noConversion"/>
  </si>
  <si>
    <t>从攻击者身上学会一个法术</t>
    <phoneticPr fontId="9" type="noConversion"/>
  </si>
  <si>
    <t>魅惑</t>
    <phoneticPr fontId="9" type="noConversion"/>
  </si>
  <si>
    <t>策反英雄</t>
    <phoneticPr fontId="9" type="noConversion"/>
  </si>
  <si>
    <t>团结</t>
    <phoneticPr fontId="9" type="noConversion"/>
  </si>
  <si>
    <t>号召所有队友帮助分担伤害</t>
    <phoneticPr fontId="9" type="noConversion"/>
  </si>
  <si>
    <t>求生</t>
    <phoneticPr fontId="9" type="noConversion"/>
  </si>
  <si>
    <t>洞察</t>
    <phoneticPr fontId="9" type="noConversion"/>
  </si>
  <si>
    <t>复活可重生的己方英雄</t>
    <phoneticPr fontId="9" type="noConversion"/>
  </si>
  <si>
    <t>轮回</t>
    <phoneticPr fontId="9" type="noConversion"/>
  </si>
  <si>
    <t>消除指定己方英雄所有不利Buff</t>
    <phoneticPr fontId="9" type="noConversion"/>
  </si>
  <si>
    <t>辟邪</t>
    <phoneticPr fontId="9" type="noConversion"/>
  </si>
  <si>
    <t>献祭</t>
    <phoneticPr fontId="9" type="noConversion"/>
  </si>
  <si>
    <t>杀死一名友军，提升自己攻防属性</t>
    <phoneticPr fontId="9" type="noConversion"/>
  </si>
  <si>
    <t>召唤</t>
    <phoneticPr fontId="9" type="noConversion"/>
  </si>
  <si>
    <t>嗜血</t>
    <phoneticPr fontId="9" type="noConversion"/>
  </si>
  <si>
    <t>造成伤害时回复自己生命</t>
    <phoneticPr fontId="9" type="noConversion"/>
  </si>
  <si>
    <t>血咒</t>
    <phoneticPr fontId="9" type="noConversion"/>
  </si>
  <si>
    <t>秒杀被攻击者，只能自身发动</t>
    <phoneticPr fontId="9" type="noConversion"/>
  </si>
  <si>
    <t>在随机空位生成自身复制品.只能自身发动</t>
    <phoneticPr fontId="9" type="noConversion"/>
  </si>
  <si>
    <t>分身</t>
    <phoneticPr fontId="9" type="noConversion"/>
  </si>
  <si>
    <t>光环</t>
    <phoneticPr fontId="9" type="noConversion"/>
  </si>
  <si>
    <t>诅咒</t>
    <phoneticPr fontId="9" type="noConversion"/>
  </si>
  <si>
    <t>回复</t>
    <phoneticPr fontId="9" type="noConversion"/>
  </si>
  <si>
    <t>鼓舞</t>
    <phoneticPr fontId="9" type="noConversion"/>
  </si>
  <si>
    <t>反射</t>
    <phoneticPr fontId="9" type="noConversion"/>
  </si>
  <si>
    <t>反弹30%伤害</t>
    <phoneticPr fontId="9" type="noConversion"/>
  </si>
  <si>
    <t>自爆</t>
    <phoneticPr fontId="9" type="noConversion"/>
  </si>
  <si>
    <t>死亡时对全体敌人造成伤害</t>
    <phoneticPr fontId="9" type="noConversion"/>
  </si>
  <si>
    <t>急救</t>
    <phoneticPr fontId="9" type="noConversion"/>
  </si>
  <si>
    <t>祝福</t>
    <phoneticPr fontId="9" type="noConversion"/>
  </si>
  <si>
    <t>强化</t>
    <phoneticPr fontId="9" type="noConversion"/>
  </si>
  <si>
    <t>加持</t>
    <phoneticPr fontId="9" type="noConversion"/>
  </si>
  <si>
    <t>恢复友军生命</t>
    <phoneticPr fontId="9" type="noConversion"/>
  </si>
  <si>
    <t>增加友军士气</t>
    <phoneticPr fontId="9" type="noConversion"/>
  </si>
  <si>
    <t>阴阳二气瓶</t>
    <phoneticPr fontId="9" type="noConversion"/>
  </si>
  <si>
    <t>重整 将前排单个敌人收入瓶中，蔓藤缠绕后放出，造成%d的木系伤害。</t>
  </si>
  <si>
    <t>{}</t>
    <phoneticPr fontId="9" type="noConversion"/>
  </si>
  <si>
    <t>金铙</t>
    <phoneticPr fontId="9" type="noConversion"/>
  </si>
  <si>
    <t>{}</t>
    <phoneticPr fontId="9" type="noConversion"/>
  </si>
  <si>
    <t>金刚琢</t>
    <phoneticPr fontId="9" type="noConversion"/>
  </si>
  <si>
    <t>{\"type\":3,\"val\":1}</t>
    <phoneticPr fontId="9" type="noConversion"/>
  </si>
  <si>
    <t>重整 攻击前排单一敌人，将其收入金铙中，造成%d的金系伤害后放出。</t>
  </si>
  <si>
    <t>{}</t>
    <phoneticPr fontId="9" type="noConversion"/>
  </si>
  <si>
    <t>紫金红葫芦</t>
    <phoneticPr fontId="9" type="noConversion"/>
  </si>
  <si>
    <t>重整 随机选择任何单一敌人呼唤其名字，对方不由自主答应，然后将其收到葫芦中、再自葫芦中放出、收归己方所有</t>
  </si>
  <si>
    <t>亡语：召唤哪吒</t>
    <phoneticPr fontId="9" type="noConversion"/>
  </si>
  <si>
    <t>{\"hid\":8}</t>
    <phoneticPr fontId="9" type="noConversion"/>
  </si>
  <si>
    <t>重整，全体吹飞，造成%d的木系伤害，附加晕眩</t>
    <phoneticPr fontId="9" type="noConversion"/>
  </si>
  <si>
    <t>幌金绳</t>
    <phoneticPr fontId="9" type="noConversion"/>
  </si>
  <si>
    <t>重整 捆绑后排单一敌人，放开后附加禁锢效果</t>
  </si>
  <si>
    <t>人种袋</t>
    <phoneticPr fontId="9" type="noConversion"/>
  </si>
  <si>
    <t>重整 将全体敌人装入袋中，造成大量土系伤害后放出</t>
  </si>
  <si>
    <t>杨柳净瓶</t>
    <phoneticPr fontId="9" type="noConversion"/>
  </si>
  <si>
    <t>重整 恢复全体友军%d的生命</t>
  </si>
  <si>
    <t>{}</t>
    <phoneticPr fontId="9" type="noConversion"/>
  </si>
  <si>
    <t>宝莲灯</t>
    <phoneticPr fontId="9" type="noConversion"/>
  </si>
  <si>
    <t>辟邪</t>
    <phoneticPr fontId="9" type="noConversion"/>
  </si>
  <si>
    <t>重整 消除全体友军所有负面效果</t>
    <phoneticPr fontId="9" type="noConversion"/>
  </si>
  <si>
    <t>49;17;37;14;52</t>
    <phoneticPr fontId="9" type="noConversion"/>
  </si>
  <si>
    <t>锦镧袈裟</t>
    <phoneticPr fontId="9" type="noConversion"/>
  </si>
  <si>
    <t>重整 随机%d个队友附加神佑，持续%d回合</t>
  </si>
  <si>
    <t>九环锡杖</t>
    <phoneticPr fontId="9" type="noConversion"/>
  </si>
  <si>
    <t>重整 施法英雄随机学会一个新的技能</t>
  </si>
  <si>
    <t>般若波罗蜜</t>
    <phoneticPr fontId="9" type="noConversion"/>
  </si>
  <si>
    <t>{}</t>
    <phoneticPr fontId="9" type="noConversion"/>
  </si>
  <si>
    <t>回复</t>
    <phoneticPr fontId="9" type="noConversion"/>
  </si>
  <si>
    <t>乱舞</t>
    <phoneticPr fontId="9" type="noConversion"/>
  </si>
  <si>
    <t>乱舞</t>
    <phoneticPr fontId="9" type="noConversion"/>
  </si>
  <si>
    <t>施毒</t>
    <phoneticPr fontId="9" type="noConversion"/>
  </si>
  <si>
    <t>击晕</t>
    <phoneticPr fontId="9" type="noConversion"/>
  </si>
  <si>
    <t>丧志</t>
    <phoneticPr fontId="9" type="noConversion"/>
  </si>
  <si>
    <t>反射</t>
    <phoneticPr fontId="9" type="noConversion"/>
  </si>
  <si>
    <t>自爆</t>
    <phoneticPr fontId="9" type="noConversion"/>
  </si>
  <si>
    <t>急救</t>
    <phoneticPr fontId="9" type="noConversion"/>
  </si>
  <si>
    <t>金刚</t>
    <phoneticPr fontId="9" type="noConversion"/>
  </si>
  <si>
    <t>分身</t>
    <phoneticPr fontId="9" type="noConversion"/>
  </si>
  <si>
    <t>强化</t>
    <phoneticPr fontId="9" type="noConversion"/>
  </si>
  <si>
    <t>尚武</t>
    <phoneticPr fontId="9" type="noConversion"/>
  </si>
  <si>
    <t>顽抗</t>
    <phoneticPr fontId="9" type="noConversion"/>
  </si>
  <si>
    <t>满血时3倍伤害</t>
  </si>
  <si>
    <t>命中时提升攻击力</t>
    <phoneticPr fontId="9" type="noConversion"/>
  </si>
  <si>
    <t>昂扬</t>
    <phoneticPr fontId="9" type="noConversion"/>
  </si>
  <si>
    <t>轮回</t>
    <phoneticPr fontId="9" type="noConversion"/>
  </si>
  <si>
    <t>火眼金睛</t>
    <phoneticPr fontId="9" type="noConversion"/>
  </si>
  <si>
    <t>打断敌方普通攻击，同时发起反击</t>
    <phoneticPr fontId="9" type="noConversion"/>
  </si>
  <si>
    <t>救助一名阵亡队友</t>
    <phoneticPr fontId="9" type="noConversion"/>
  </si>
  <si>
    <t>消除一名随机友军的负面效果</t>
    <phoneticPr fontId="9" type="noConversion"/>
  </si>
  <si>
    <t>狂暴 反弹%d伤害</t>
    <phoneticPr fontId="9" type="noConversion"/>
  </si>
  <si>
    <t>鬼斧神工</t>
    <phoneticPr fontId="9" type="noConversion"/>
  </si>
  <si>
    <t>神工</t>
    <phoneticPr fontId="9" type="noConversion"/>
  </si>
  <si>
    <t>重整 说服一名敌方英雄叛逃至本阵营</t>
  </si>
  <si>
    <t>狂暴 偷学攻击者的一个法术</t>
    <phoneticPr fontId="9" type="noConversion"/>
  </si>
  <si>
    <t>重整 随机学会任意一个法术</t>
    <phoneticPr fontId="9" type="noConversion"/>
  </si>
  <si>
    <t>领悟</t>
    <phoneticPr fontId="9" type="noConversion"/>
  </si>
  <si>
    <t>提升%d的自身攻击力</t>
    <phoneticPr fontId="9" type="noConversion"/>
  </si>
  <si>
    <t>霸体</t>
    <phoneticPr fontId="9" type="noConversion"/>
  </si>
  <si>
    <t>战神图腾</t>
    <phoneticPr fontId="9" type="noConversion"/>
  </si>
  <si>
    <t>濒死 向队友求救 - 系统内部调用</t>
    <phoneticPr fontId="9" type="noConversion"/>
  </si>
  <si>
    <t>混乱状态下发动的非理性攻击 - 系统内部调用</t>
    <phoneticPr fontId="9" type="noConversion"/>
  </si>
  <si>
    <t>重整 附加金刚</t>
    <phoneticPr fontId="9" type="noConversion"/>
  </si>
  <si>
    <t>无视格挡和金刚</t>
    <phoneticPr fontId="9" type="noConversion"/>
  </si>
  <si>
    <t>重整 为己方一名随机英雄附加金刚</t>
    <phoneticPr fontId="9" type="noConversion"/>
  </si>
  <si>
    <t>重整 提升一项随机属性</t>
    <phoneticPr fontId="9" type="noConversion"/>
  </si>
  <si>
    <t>得志 造成伤害时回复自己生命</t>
    <phoneticPr fontId="9" type="noConversion"/>
  </si>
  <si>
    <t>得志 满血时有几率秒杀伤者</t>
    <phoneticPr fontId="9" type="noConversion"/>
  </si>
  <si>
    <t>重整 在随机空位生成自身的分身</t>
    <phoneticPr fontId="9" type="noConversion"/>
  </si>
  <si>
    <r>
      <rPr>
        <sz val="9"/>
        <color theme="1"/>
        <rFont val="宋体"/>
        <charset val="134"/>
      </rPr>
      <t>action</t>
    </r>
    <r>
      <rPr>
        <sz val="9"/>
        <color theme="1"/>
        <rFont val="宋体"/>
        <family val="3"/>
        <charset val="134"/>
      </rPr>
      <t>1</t>
    </r>
    <phoneticPr fontId="9" type="noConversion"/>
  </si>
  <si>
    <t>action2</t>
    <phoneticPr fontId="9" type="noConversion"/>
  </si>
  <si>
    <r>
      <rPr>
        <sz val="9"/>
        <color theme="1"/>
        <rFont val="宋体"/>
        <charset val="134"/>
      </rPr>
      <t>action</t>
    </r>
    <r>
      <rPr>
        <sz val="9"/>
        <color theme="1"/>
        <rFont val="宋体"/>
        <family val="3"/>
        <charset val="134"/>
      </rPr>
      <t>3</t>
    </r>
    <phoneticPr fontId="9" type="noConversion"/>
  </si>
  <si>
    <r>
      <rPr>
        <sz val="9"/>
        <color theme="1"/>
        <rFont val="宋体"/>
        <charset val="134"/>
      </rPr>
      <t>action</t>
    </r>
    <r>
      <rPr>
        <sz val="9"/>
        <color theme="1"/>
        <rFont val="宋体"/>
        <family val="3"/>
        <charset val="134"/>
      </rPr>
      <t>4</t>
    </r>
    <phoneticPr fontId="9" type="noConversion"/>
  </si>
  <si>
    <r>
      <rPr>
        <sz val="9"/>
        <color theme="1"/>
        <rFont val="宋体"/>
        <charset val="134"/>
      </rPr>
      <t>action</t>
    </r>
    <r>
      <rPr>
        <sz val="9"/>
        <color theme="1"/>
        <rFont val="宋体"/>
        <family val="3"/>
        <charset val="134"/>
      </rPr>
      <t>5</t>
    </r>
    <phoneticPr fontId="9" type="noConversion"/>
  </si>
  <si>
    <t>61;60</t>
    <phoneticPr fontId="9" type="noConversion"/>
  </si>
  <si>
    <t>3;21</t>
    <phoneticPr fontId="9" type="noConversion"/>
  </si>
  <si>
    <t>6;8</t>
    <phoneticPr fontId="9" type="noConversion"/>
  </si>
  <si>
    <t>53;11</t>
    <phoneticPr fontId="9" type="noConversion"/>
  </si>
  <si>
    <t>1;30</t>
    <phoneticPr fontId="9" type="noConversion"/>
  </si>
  <si>
    <t>64;8</t>
    <phoneticPr fontId="9" type="noConversion"/>
  </si>
  <si>
    <t>32;69</t>
    <phoneticPr fontId="9" type="noConversion"/>
  </si>
  <si>
    <t>72;73</t>
    <phoneticPr fontId="9" type="noConversion"/>
  </si>
  <si>
    <t>65;66</t>
    <phoneticPr fontId="9" type="noConversion"/>
  </si>
  <si>
    <t>49;17</t>
    <phoneticPr fontId="9" type="noConversion"/>
  </si>
  <si>
    <t>61;60;38</t>
    <phoneticPr fontId="9" type="noConversion"/>
  </si>
  <si>
    <t>3;21;63</t>
    <phoneticPr fontId="9" type="noConversion"/>
  </si>
  <si>
    <t>6;8;17</t>
    <phoneticPr fontId="9" type="noConversion"/>
  </si>
  <si>
    <t>53;11;102</t>
    <phoneticPr fontId="9" type="noConversion"/>
  </si>
  <si>
    <t>1;30;68</t>
    <phoneticPr fontId="9" type="noConversion"/>
  </si>
  <si>
    <t>64;8;10</t>
    <phoneticPr fontId="9" type="noConversion"/>
  </si>
  <si>
    <t>32;69;70</t>
    <phoneticPr fontId="9" type="noConversion"/>
  </si>
  <si>
    <t>72;73;74</t>
    <phoneticPr fontId="9" type="noConversion"/>
  </si>
  <si>
    <t>65;66;67</t>
    <phoneticPr fontId="9" type="noConversion"/>
  </si>
  <si>
    <t>49;17;37</t>
    <phoneticPr fontId="9" type="noConversion"/>
  </si>
  <si>
    <t>61;60;38;36</t>
    <phoneticPr fontId="9" type="noConversion"/>
  </si>
  <si>
    <t>3;21;63;46</t>
    <phoneticPr fontId="9" type="noConversion"/>
  </si>
  <si>
    <t>6;8;17;13</t>
    <phoneticPr fontId="9" type="noConversion"/>
  </si>
  <si>
    <t>53;11;102;35</t>
    <phoneticPr fontId="9" type="noConversion"/>
  </si>
  <si>
    <t>1;30;68;12</t>
    <phoneticPr fontId="9" type="noConversion"/>
  </si>
  <si>
    <t>64;8;10;34</t>
    <phoneticPr fontId="9" type="noConversion"/>
  </si>
  <si>
    <t>32;69;70;71</t>
    <phoneticPr fontId="9" type="noConversion"/>
  </si>
  <si>
    <t>72;73;74;59</t>
    <phoneticPr fontId="9" type="noConversion"/>
  </si>
  <si>
    <t>65;66;67;44</t>
    <phoneticPr fontId="9" type="noConversion"/>
  </si>
  <si>
    <t>49;17;37;14</t>
    <phoneticPr fontId="9" type="noConversion"/>
  </si>
  <si>
    <t>61;60;38;36;62</t>
    <phoneticPr fontId="9" type="noConversion"/>
  </si>
  <si>
    <t>3;21;63;46;54</t>
    <phoneticPr fontId="9" type="noConversion"/>
  </si>
  <si>
    <t>6;8;17;13;15</t>
    <phoneticPr fontId="9" type="noConversion"/>
  </si>
  <si>
    <t>53;11;102;35;50</t>
    <phoneticPr fontId="9" type="noConversion"/>
  </si>
  <si>
    <t>1;30;68;12;20</t>
    <phoneticPr fontId="9" type="noConversion"/>
  </si>
  <si>
    <t>64;8;10;34;19</t>
    <phoneticPr fontId="9" type="noConversion"/>
  </si>
  <si>
    <t>32;69;70;71;18</t>
    <phoneticPr fontId="9" type="noConversion"/>
  </si>
  <si>
    <t>72;73;74;59;58</t>
    <phoneticPr fontId="9" type="noConversion"/>
  </si>
  <si>
    <t>65;66;67;44;50</t>
    <phoneticPr fontId="9" type="noConversion"/>
  </si>
  <si>
    <t>55;61</t>
    <phoneticPr fontId="9" type="noConversion"/>
  </si>
  <si>
    <t>55;3</t>
    <phoneticPr fontId="9" type="noConversion"/>
  </si>
  <si>
    <t>55;6</t>
    <phoneticPr fontId="9" type="noConversion"/>
  </si>
  <si>
    <t>55;53</t>
    <phoneticPr fontId="9" type="noConversion"/>
  </si>
  <si>
    <t>55;1</t>
    <phoneticPr fontId="9" type="noConversion"/>
  </si>
  <si>
    <t>55;64</t>
    <phoneticPr fontId="9" type="noConversion"/>
  </si>
  <si>
    <t>55;32</t>
    <phoneticPr fontId="9" type="noConversion"/>
  </si>
  <si>
    <t>55;72</t>
    <phoneticPr fontId="9" type="noConversion"/>
  </si>
  <si>
    <t>55;65</t>
    <phoneticPr fontId="9" type="noConversion"/>
  </si>
  <si>
    <t>55;49</t>
    <phoneticPr fontId="9" type="noConversion"/>
  </si>
  <si>
    <t>缘起性空</t>
    <phoneticPr fontId="9" type="noConversion"/>
  </si>
  <si>
    <t>AddBuff</t>
    <phoneticPr fontId="9" type="noConversion"/>
  </si>
  <si>
    <t>{\"type\":11,\"val\":1}</t>
    <phoneticPr fontId="9" type="noConversion"/>
  </si>
  <si>
    <t>一星技能</t>
    <phoneticPr fontId="9" type="noConversion"/>
  </si>
  <si>
    <t>二星技能</t>
    <phoneticPr fontId="9" type="noConversion"/>
  </si>
  <si>
    <t>三星技能</t>
    <phoneticPr fontId="9" type="noConversion"/>
  </si>
  <si>
    <t>四星技能</t>
    <phoneticPr fontId="9" type="noConversion"/>
  </si>
  <si>
    <t>五星技能</t>
    <phoneticPr fontId="9" type="noConversion"/>
  </si>
  <si>
    <t>升级费用</t>
    <phoneticPr fontId="9" type="noConversion"/>
  </si>
  <si>
    <t>upgrade</t>
    <phoneticPr fontId="9" type="noConversion"/>
  </si>
  <si>
    <t>100,100,100,100,100,100,100,100</t>
    <phoneticPr fontId="9" type="noConversion"/>
  </si>
  <si>
    <t>1、本表为卡牌一览表，包含了全部PVP卡牌，包括法术卡和英雄卡两个大类。</t>
    <phoneticPr fontId="9" type="noConversion"/>
  </si>
  <si>
    <t>奖励元宝数量</t>
    <phoneticPr fontId="9" type="noConversion"/>
  </si>
  <si>
    <t>元宝总额</t>
    <phoneticPr fontId="9" type="noConversion"/>
  </si>
  <si>
    <r>
      <t>209,</t>
    </r>
    <r>
      <rPr>
        <sz val="9"/>
        <rFont val="宋体"/>
        <family val="3"/>
        <charset val="134"/>
        <scheme val="minor"/>
      </rPr>
      <t>10</t>
    </r>
    <phoneticPr fontId="9" type="noConversion"/>
  </si>
  <si>
    <t>208,10</t>
    <phoneticPr fontId="9" type="noConversion"/>
  </si>
  <si>
    <t>210,25</t>
    <phoneticPr fontId="9" type="noConversion"/>
  </si>
  <si>
    <t>211,1</t>
    <phoneticPr fontId="9" type="noConversion"/>
  </si>
  <si>
    <t>212,1</t>
    <phoneticPr fontId="9" type="noConversion"/>
  </si>
  <si>
    <t>213,1</t>
    <phoneticPr fontId="9" type="noConversion"/>
  </si>
  <si>
    <t>214,1</t>
    <phoneticPr fontId="9" type="noConversion"/>
  </si>
  <si>
    <t>36,50</t>
    <phoneticPr fontId="9" type="noConversion"/>
  </si>
  <si>
    <t>1,10</t>
    <phoneticPr fontId="9" type="noConversion"/>
  </si>
  <si>
    <r>
      <t>2</t>
    </r>
    <r>
      <rPr>
        <sz val="9"/>
        <color theme="1"/>
        <rFont val="宋体"/>
        <family val="3"/>
        <charset val="134"/>
        <scheme val="minor"/>
      </rPr>
      <t>0,3</t>
    </r>
    <phoneticPr fontId="9" type="noConversion"/>
  </si>
  <si>
    <r>
      <t>2</t>
    </r>
    <r>
      <rPr>
        <sz val="9"/>
        <color theme="1"/>
        <rFont val="宋体"/>
        <family val="3"/>
        <charset val="134"/>
        <scheme val="minor"/>
      </rPr>
      <t>0,5</t>
    </r>
    <phoneticPr fontId="9" type="noConversion"/>
  </si>
  <si>
    <r>
      <t>2</t>
    </r>
    <r>
      <rPr>
        <sz val="9"/>
        <color theme="1"/>
        <rFont val="宋体"/>
        <family val="3"/>
        <charset val="134"/>
        <scheme val="minor"/>
      </rPr>
      <t>0,7</t>
    </r>
    <phoneticPr fontId="9" type="noConversion"/>
  </si>
  <si>
    <r>
      <t>2</t>
    </r>
    <r>
      <rPr>
        <sz val="9"/>
        <color theme="1"/>
        <rFont val="宋体"/>
        <family val="3"/>
        <charset val="134"/>
        <scheme val="minor"/>
      </rPr>
      <t>03,3</t>
    </r>
    <phoneticPr fontId="9" type="noConversion"/>
  </si>
  <si>
    <r>
      <t>2</t>
    </r>
    <r>
      <rPr>
        <sz val="9"/>
        <color theme="1"/>
        <rFont val="宋体"/>
        <family val="3"/>
        <charset val="134"/>
        <scheme val="minor"/>
      </rPr>
      <t>05,5</t>
    </r>
    <phoneticPr fontId="9" type="noConversion"/>
  </si>
  <si>
    <t>205,10</t>
    <phoneticPr fontId="9" type="noConversion"/>
  </si>
  <si>
    <t>205,15</t>
    <phoneticPr fontId="9" type="noConversion"/>
  </si>
  <si>
    <t>205,20</t>
    <phoneticPr fontId="9" type="noConversion"/>
  </si>
  <si>
    <t>1,10</t>
  </si>
  <si>
    <t>1,10</t>
    <phoneticPr fontId="9" type="noConversion"/>
  </si>
  <si>
    <t>205,25</t>
    <phoneticPr fontId="9" type="noConversion"/>
  </si>
  <si>
    <t>3100,2,1;3100,3,1;3100,4,1;3100,5,1;3100,6,1;3100,7,1;</t>
    <phoneticPr fontId="9" type="noConversion"/>
  </si>
  <si>
    <t>1000,1,500;1000,2,500;1000,3,500;1000,4,500;1000,5,500;1000,6,500;1000,7,500;</t>
    <phoneticPr fontId="9" type="noConversion"/>
  </si>
  <si>
    <r>
      <t>1000,8</t>
    </r>
    <r>
      <rPr>
        <sz val="9"/>
        <color theme="1"/>
        <rFont val="宋体"/>
        <charset val="134"/>
        <scheme val="minor"/>
      </rPr>
      <t>,500;</t>
    </r>
    <r>
      <rPr>
        <sz val="9"/>
        <color theme="1"/>
        <rFont val="宋体"/>
        <family val="3"/>
        <charset val="134"/>
        <scheme val="minor"/>
      </rPr>
      <t>1000,9,500;1000,10,500;1000,11,500;1000,12,500;1000,13,500;1000,14,500;1000,15,500;1000,16,500;1000,17,500;</t>
    </r>
    <phoneticPr fontId="9" type="noConversion"/>
  </si>
  <si>
    <r>
      <t>1000,</t>
    </r>
    <r>
      <rPr>
        <sz val="9"/>
        <color theme="1"/>
        <rFont val="宋体"/>
        <family val="3"/>
        <charset val="134"/>
        <scheme val="minor"/>
      </rPr>
      <t>18</t>
    </r>
    <r>
      <rPr>
        <sz val="9"/>
        <color theme="1"/>
        <rFont val="宋体"/>
        <charset val="134"/>
        <scheme val="minor"/>
      </rPr>
      <t>,500;</t>
    </r>
    <r>
      <rPr>
        <sz val="9"/>
        <color theme="1"/>
        <rFont val="宋体"/>
        <family val="3"/>
        <charset val="134"/>
        <scheme val="minor"/>
      </rPr>
      <t>1000,19,500;1000,20,500;1000,21,500;1000,22,500;1000,23,500;1000,24,500;1000,25,500;7,10000;8,10000;3,10000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</si>
</sst>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_);[Red]\(0\)"/>
  </numFmts>
  <fonts count="13" x14ac:knownFonts="1">
    <font>
      <sz val="11"/>
      <color theme="1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9"/>
      <color theme="1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9"/>
      <color theme="1"/>
      <name val="宋体"/>
      <charset val="134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/>
    </xf>
    <xf numFmtId="177" fontId="1" fillId="0" borderId="0" xfId="0" applyNumberFormat="1" applyFont="1"/>
    <xf numFmtId="49" fontId="1" fillId="0" borderId="0" xfId="0" applyNumberFormat="1" applyFont="1"/>
    <xf numFmtId="0" fontId="2" fillId="0" borderId="0" xfId="0" applyFont="1"/>
    <xf numFmtId="0" fontId="1" fillId="0" borderId="0" xfId="0" applyNumberFormat="1" applyFont="1"/>
    <xf numFmtId="49" fontId="2" fillId="0" borderId="0" xfId="0" applyNumberFormat="1" applyFont="1"/>
    <xf numFmtId="0" fontId="2" fillId="0" borderId="0" xfId="0" applyNumberFormat="1" applyFont="1"/>
    <xf numFmtId="177" fontId="2" fillId="0" borderId="0" xfId="0" applyNumberFormat="1" applyFont="1"/>
    <xf numFmtId="176" fontId="1" fillId="0" borderId="0" xfId="0" applyNumberFormat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1"/>
    <xf numFmtId="0" fontId="6" fillId="0" borderId="0" xfId="1" applyFont="1"/>
    <xf numFmtId="0" fontId="7" fillId="0" borderId="0" xfId="1" applyFont="1"/>
    <xf numFmtId="0" fontId="1" fillId="0" borderId="0" xfId="0" quotePrefix="1" applyFont="1"/>
    <xf numFmtId="0" fontId="10" fillId="0" borderId="0" xfId="0" applyFont="1"/>
    <xf numFmtId="0" fontId="10" fillId="0" borderId="0" xfId="0" applyFont="1" applyAlignment="1">
      <alignment wrapText="1"/>
    </xf>
    <xf numFmtId="49" fontId="10" fillId="0" borderId="0" xfId="0" applyNumberFormat="1" applyFont="1"/>
    <xf numFmtId="0" fontId="11" fillId="0" borderId="0" xfId="0" applyFont="1"/>
    <xf numFmtId="49" fontId="11" fillId="0" borderId="0" xfId="0" applyNumberFormat="1" applyFont="1"/>
    <xf numFmtId="0" fontId="12" fillId="0" borderId="0" xfId="0" applyFont="1"/>
    <xf numFmtId="0" fontId="0" fillId="0" borderId="0" xfId="0" applyAlignment="1"/>
    <xf numFmtId="0" fontId="10" fillId="0" borderId="0" xfId="0" applyNumberFormat="1" applyFont="1"/>
    <xf numFmtId="0" fontId="9" fillId="0" borderId="0" xfId="0" applyFont="1" applyAlignment="1">
      <alignment vertical="center"/>
    </xf>
    <xf numFmtId="0" fontId="1" fillId="0" borderId="0" xfId="0" applyFont="1" applyAlignment="1"/>
    <xf numFmtId="0" fontId="0" fillId="0" borderId="0" xfId="0" applyAlignment="1"/>
    <xf numFmtId="0" fontId="3" fillId="0" borderId="0" xfId="0" applyFont="1" applyAlignment="1"/>
    <xf numFmtId="0" fontId="10" fillId="0" borderId="0" xfId="0" applyFont="1" applyAlignment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19050</xdr:rowOff>
    </xdr:from>
    <xdr:to>
      <xdr:col>1</xdr:col>
      <xdr:colOff>333375</xdr:colOff>
      <xdr:row>1</xdr:row>
      <xdr:rowOff>85725</xdr:rowOff>
    </xdr:to>
    <xdr:sp macro="[0]!all.stOutput" textlink="">
      <xdr:nvSpPr>
        <xdr:cNvPr id="2" name="矩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8415" y="19050"/>
          <a:ext cx="1543685" cy="2381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</a:rPr>
            <a:t>全体导出</a:t>
          </a:r>
          <a:endParaRPr lang="en-US" altLang="zh-CN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0</xdr:rowOff>
    </xdr:from>
    <xdr:to>
      <xdr:col>2</xdr:col>
      <xdr:colOff>628651</xdr:colOff>
      <xdr:row>31</xdr:row>
      <xdr:rowOff>95250</xdr:rowOff>
    </xdr:to>
    <xdr:sp macro="[0]!active.stOutput" textlink="">
      <xdr:nvSpPr>
        <xdr:cNvPr id="3" name="矩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685800" y="4286250"/>
          <a:ext cx="1543050" cy="2381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</a:rPr>
            <a:t>全体导出</a:t>
          </a:r>
          <a:endParaRPr lang="en-US" altLang="zh-CN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16"/>
  <sheetViews>
    <sheetView tabSelected="1" workbookViewId="0">
      <selection activeCell="B8" sqref="B8"/>
    </sheetView>
  </sheetViews>
  <sheetFormatPr defaultColWidth="9" defaultRowHeight="13.5" x14ac:dyDescent="0.15"/>
  <cols>
    <col min="1" max="1" width="16.125" customWidth="1"/>
    <col min="2" max="2" width="115.25" customWidth="1"/>
  </cols>
  <sheetData>
    <row r="3" spans="1:2" s="13" customFormat="1" x14ac:dyDescent="0.15">
      <c r="A3" s="13" t="s">
        <v>0</v>
      </c>
      <c r="B3" s="13" t="s">
        <v>1</v>
      </c>
    </row>
    <row r="5" spans="1:2" x14ac:dyDescent="0.15">
      <c r="A5" t="s">
        <v>2</v>
      </c>
      <c r="B5" t="s">
        <v>3</v>
      </c>
    </row>
    <row r="6" spans="1:2" x14ac:dyDescent="0.15">
      <c r="A6" s="14" t="s">
        <v>4</v>
      </c>
      <c r="B6" t="s">
        <v>5</v>
      </c>
    </row>
    <row r="7" spans="1:2" x14ac:dyDescent="0.15">
      <c r="A7" s="14" t="s">
        <v>6</v>
      </c>
      <c r="B7" t="s">
        <v>7</v>
      </c>
    </row>
    <row r="8" spans="1:2" x14ac:dyDescent="0.15">
      <c r="A8" s="15" t="s">
        <v>8</v>
      </c>
      <c r="B8" t="s">
        <v>9</v>
      </c>
    </row>
    <row r="9" spans="1:2" x14ac:dyDescent="0.15">
      <c r="A9" s="16" t="s">
        <v>10</v>
      </c>
      <c r="B9" t="s">
        <v>11</v>
      </c>
    </row>
    <row r="10" spans="1:2" x14ac:dyDescent="0.15">
      <c r="A10" s="14" t="s">
        <v>12</v>
      </c>
      <c r="B10" t="s">
        <v>13</v>
      </c>
    </row>
    <row r="11" spans="1:2" x14ac:dyDescent="0.15">
      <c r="A11" s="14" t="s">
        <v>14</v>
      </c>
      <c r="B11" t="s">
        <v>15</v>
      </c>
    </row>
    <row r="12" spans="1:2" x14ac:dyDescent="0.15">
      <c r="A12" s="14" t="s">
        <v>16</v>
      </c>
      <c r="B12" t="s">
        <v>17</v>
      </c>
    </row>
    <row r="13" spans="1:2" x14ac:dyDescent="0.15">
      <c r="A13" s="14" t="s">
        <v>18</v>
      </c>
    </row>
    <row r="14" spans="1:2" x14ac:dyDescent="0.15">
      <c r="A14" s="14" t="s">
        <v>19</v>
      </c>
    </row>
    <row r="15" spans="1:2" x14ac:dyDescent="0.15">
      <c r="A15" s="14" t="s">
        <v>8</v>
      </c>
    </row>
    <row r="16" spans="1:2" x14ac:dyDescent="0.15">
      <c r="A16" s="14" t="s">
        <v>20</v>
      </c>
    </row>
  </sheetData>
  <phoneticPr fontId="9" type="noConversion"/>
  <hyperlinks>
    <hyperlink ref="A6" location="pTechList!A1" display="法宝配置"/>
    <hyperlink ref="A7" location="a_pTotemList!A1" display="图腾配置"/>
    <hyperlink ref="A8" location="a_pPetList!A1" display="PVP英雄配置"/>
    <hyperlink ref="A9" location="a_pCPetList!A1" display="PVE伙伴配置"/>
    <hyperlink ref="A10" location="a_task!A1" display="任务配置"/>
    <hyperlink ref="A12" location="a_pGoods!A1" display="商品配置"/>
    <hyperlink ref="A13" location="a_professionList!A1" display="英雄职业配置"/>
    <hyperlink ref="A14" location="m_skillList!A1" display="英雄技能配置"/>
    <hyperlink ref="A15" location="a_soldierList!A1" display="PVP英雄配置"/>
    <hyperlink ref="A16" location="a_ActionConfig!A1" display="时效技能配置"/>
    <hyperlink ref="A11" location="m_pShops!A1" display="商店配置"/>
  </hyperlinks>
  <pageMargins left="0.69930555555555596" right="0.69930555555555596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B12" sqref="B12"/>
    </sheetView>
  </sheetViews>
  <sheetFormatPr defaultColWidth="9" defaultRowHeight="11.25" x14ac:dyDescent="0.15"/>
  <cols>
    <col min="1" max="1" width="5.5" style="1" customWidth="1"/>
    <col min="2" max="2" width="12.5" style="1" customWidth="1"/>
    <col min="3" max="16384" width="9" style="1"/>
  </cols>
  <sheetData>
    <row r="1" spans="1:2" x14ac:dyDescent="0.15">
      <c r="A1" s="1" t="s">
        <v>21</v>
      </c>
      <c r="B1" s="1" t="s">
        <v>22</v>
      </c>
    </row>
    <row r="2" spans="1:2" x14ac:dyDescent="0.15">
      <c r="A2" s="1" t="s">
        <v>23</v>
      </c>
      <c r="B2" s="1" t="s">
        <v>24</v>
      </c>
    </row>
    <row r="3" spans="1:2" x14ac:dyDescent="0.15">
      <c r="A3" s="1">
        <v>1</v>
      </c>
      <c r="B3" s="1">
        <v>30</v>
      </c>
    </row>
    <row r="4" spans="1:2" x14ac:dyDescent="0.15">
      <c r="A4" s="1">
        <v>2</v>
      </c>
      <c r="B4" s="1">
        <v>1</v>
      </c>
    </row>
    <row r="5" spans="1:2" x14ac:dyDescent="0.15">
      <c r="A5" s="1">
        <v>3</v>
      </c>
      <c r="B5" s="1">
        <v>1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B8" sqref="B8"/>
    </sheetView>
  </sheetViews>
  <sheetFormatPr defaultColWidth="11.5" defaultRowHeight="11.25" x14ac:dyDescent="0.15"/>
  <cols>
    <col min="1" max="1" width="5.125" style="1" customWidth="1"/>
    <col min="2" max="2" width="6.125" style="1" customWidth="1"/>
    <col min="3" max="3" width="31.875" style="1" customWidth="1"/>
    <col min="4" max="4" width="11.5" style="1"/>
    <col min="5" max="5" width="13.625" style="1" customWidth="1"/>
    <col min="6" max="16384" width="11.5" style="1"/>
  </cols>
  <sheetData>
    <row r="1" spans="1:5" x14ac:dyDescent="0.15">
      <c r="A1" s="1" t="s">
        <v>21</v>
      </c>
      <c r="B1" s="1" t="s">
        <v>25</v>
      </c>
      <c r="C1" s="1" t="s">
        <v>3</v>
      </c>
      <c r="E1" s="1" t="s">
        <v>26</v>
      </c>
    </row>
    <row r="2" spans="1:5" x14ac:dyDescent="0.15">
      <c r="A2" s="1" t="s">
        <v>23</v>
      </c>
      <c r="B2" s="1" t="s">
        <v>27</v>
      </c>
      <c r="C2" s="1" t="s">
        <v>28</v>
      </c>
      <c r="E2" s="1" t="s">
        <v>28</v>
      </c>
    </row>
    <row r="3" spans="1:5" x14ac:dyDescent="0.15">
      <c r="A3" s="1">
        <v>1</v>
      </c>
      <c r="B3" s="1">
        <v>5</v>
      </c>
      <c r="C3" s="1" t="s">
        <v>29</v>
      </c>
      <c r="E3" s="1" t="s">
        <v>30</v>
      </c>
    </row>
    <row r="4" spans="1:5" x14ac:dyDescent="0.15">
      <c r="A4" s="1">
        <v>2</v>
      </c>
      <c r="B4" s="1">
        <v>30</v>
      </c>
      <c r="C4" s="1" t="s">
        <v>31</v>
      </c>
    </row>
    <row r="5" spans="1:5" x14ac:dyDescent="0.15">
      <c r="A5" s="1">
        <v>3</v>
      </c>
      <c r="B5" s="1">
        <v>60</v>
      </c>
      <c r="C5" s="1" t="s">
        <v>32</v>
      </c>
    </row>
    <row r="6" spans="1:5" x14ac:dyDescent="0.15">
      <c r="A6" s="1">
        <v>4</v>
      </c>
      <c r="B6" s="1">
        <v>10</v>
      </c>
      <c r="C6" s="1" t="s">
        <v>33</v>
      </c>
    </row>
    <row r="7" spans="1:5" x14ac:dyDescent="0.15">
      <c r="A7" s="1">
        <v>5</v>
      </c>
      <c r="B7" s="1">
        <v>20</v>
      </c>
      <c r="C7" s="1" t="s">
        <v>34</v>
      </c>
    </row>
    <row r="8" spans="1:5" x14ac:dyDescent="0.15">
      <c r="A8" s="1">
        <v>6</v>
      </c>
      <c r="B8" s="1">
        <v>10</v>
      </c>
      <c r="C8" s="1" t="s">
        <v>35</v>
      </c>
    </row>
  </sheetData>
  <phoneticPr fontId="9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opLeftCell="A7" workbookViewId="0">
      <selection activeCell="C15" sqref="C15"/>
    </sheetView>
  </sheetViews>
  <sheetFormatPr defaultColWidth="9" defaultRowHeight="13.5" x14ac:dyDescent="0.15"/>
  <cols>
    <col min="3" max="3" width="14.375" customWidth="1"/>
    <col min="7" max="7" width="16.875" customWidth="1"/>
  </cols>
  <sheetData>
    <row r="1" spans="1:7" x14ac:dyDescent="0.15">
      <c r="A1" t="s">
        <v>21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</row>
    <row r="2" spans="1:7" x14ac:dyDescent="0.15">
      <c r="A2" t="s">
        <v>23</v>
      </c>
      <c r="B2" t="s">
        <v>42</v>
      </c>
      <c r="C2" t="s">
        <v>43</v>
      </c>
      <c r="D2" t="s">
        <v>44</v>
      </c>
      <c r="E2" t="s">
        <v>45</v>
      </c>
      <c r="F2" t="s">
        <v>46</v>
      </c>
      <c r="G2" t="s">
        <v>28</v>
      </c>
    </row>
    <row r="3" spans="1:7" x14ac:dyDescent="0.15">
      <c r="A3">
        <v>1</v>
      </c>
      <c r="B3">
        <v>2</v>
      </c>
      <c r="C3" t="s">
        <v>47</v>
      </c>
      <c r="D3" t="s">
        <v>48</v>
      </c>
      <c r="E3">
        <v>30</v>
      </c>
      <c r="F3">
        <v>600</v>
      </c>
      <c r="G3" t="s">
        <v>49</v>
      </c>
    </row>
    <row r="4" spans="1:7" x14ac:dyDescent="0.15">
      <c r="A4">
        <v>2</v>
      </c>
      <c r="B4">
        <v>2</v>
      </c>
      <c r="C4" t="s">
        <v>50</v>
      </c>
      <c r="D4" t="s">
        <v>51</v>
      </c>
      <c r="E4">
        <v>36</v>
      </c>
      <c r="F4">
        <v>600</v>
      </c>
      <c r="G4" t="s">
        <v>52</v>
      </c>
    </row>
    <row r="5" spans="1:7" x14ac:dyDescent="0.15">
      <c r="A5">
        <v>3</v>
      </c>
      <c r="B5">
        <v>2</v>
      </c>
      <c r="C5" t="s">
        <v>53</v>
      </c>
      <c r="D5" t="s">
        <v>54</v>
      </c>
      <c r="E5">
        <v>30</v>
      </c>
      <c r="F5">
        <v>1800</v>
      </c>
      <c r="G5" t="s">
        <v>55</v>
      </c>
    </row>
    <row r="6" spans="1:7" x14ac:dyDescent="0.15">
      <c r="A6">
        <v>4</v>
      </c>
      <c r="B6">
        <v>2</v>
      </c>
      <c r="C6" t="s">
        <v>56</v>
      </c>
      <c r="D6" t="s">
        <v>57</v>
      </c>
      <c r="E6">
        <v>30</v>
      </c>
      <c r="F6">
        <v>1800</v>
      </c>
      <c r="G6" t="s">
        <v>58</v>
      </c>
    </row>
    <row r="7" spans="1:7" x14ac:dyDescent="0.15">
      <c r="A7">
        <v>5</v>
      </c>
      <c r="B7">
        <v>2</v>
      </c>
      <c r="C7" t="s">
        <v>59</v>
      </c>
      <c r="D7" t="s">
        <v>60</v>
      </c>
      <c r="E7">
        <v>30</v>
      </c>
      <c r="F7">
        <v>3600</v>
      </c>
      <c r="G7" t="s">
        <v>61</v>
      </c>
    </row>
    <row r="8" spans="1:7" x14ac:dyDescent="0.15">
      <c r="A8">
        <v>6</v>
      </c>
      <c r="B8">
        <v>2</v>
      </c>
      <c r="C8" t="s">
        <v>62</v>
      </c>
      <c r="D8" t="s">
        <v>63</v>
      </c>
      <c r="E8">
        <v>30</v>
      </c>
      <c r="F8">
        <v>3600</v>
      </c>
      <c r="G8" t="s">
        <v>64</v>
      </c>
    </row>
    <row r="9" spans="1:7" x14ac:dyDescent="0.15">
      <c r="A9">
        <v>7</v>
      </c>
      <c r="B9">
        <v>1</v>
      </c>
      <c r="C9" t="s">
        <v>65</v>
      </c>
      <c r="D9" t="s">
        <v>51</v>
      </c>
      <c r="E9">
        <v>60</v>
      </c>
      <c r="F9">
        <v>0</v>
      </c>
    </row>
    <row r="10" spans="1:7" x14ac:dyDescent="0.15">
      <c r="A10">
        <v>8</v>
      </c>
      <c r="B10">
        <v>1</v>
      </c>
      <c r="C10" t="s">
        <v>66</v>
      </c>
      <c r="D10" t="s">
        <v>67</v>
      </c>
      <c r="E10">
        <v>60</v>
      </c>
      <c r="F10">
        <v>0</v>
      </c>
    </row>
  </sheetData>
  <phoneticPr fontId="9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"/>
  <sheetViews>
    <sheetView workbookViewId="0">
      <selection activeCell="C5" sqref="C5"/>
    </sheetView>
  </sheetViews>
  <sheetFormatPr defaultColWidth="9" defaultRowHeight="11.25" x14ac:dyDescent="0.15"/>
  <cols>
    <col min="1" max="1" width="9" style="1"/>
    <col min="2" max="2" width="29.5" style="4" customWidth="1"/>
    <col min="3" max="3" width="9" style="1"/>
    <col min="4" max="4" width="18.5" style="4" customWidth="1"/>
    <col min="5" max="5" width="10" style="1" customWidth="1"/>
    <col min="6" max="16384" width="9" style="1"/>
  </cols>
  <sheetData>
    <row r="1" spans="1:7" s="21" customFormat="1" x14ac:dyDescent="0.15">
      <c r="A1" s="21" t="s">
        <v>21</v>
      </c>
      <c r="B1" s="22" t="s">
        <v>68</v>
      </c>
      <c r="C1" s="21" t="s">
        <v>71</v>
      </c>
      <c r="D1" s="22" t="s">
        <v>72</v>
      </c>
      <c r="E1" s="21" t="s">
        <v>41</v>
      </c>
      <c r="G1" s="21" t="s">
        <v>520</v>
      </c>
    </row>
    <row r="2" spans="1:7" x14ac:dyDescent="0.15">
      <c r="A2" s="1" t="s">
        <v>23</v>
      </c>
      <c r="B2" s="1" t="s">
        <v>73</v>
      </c>
      <c r="C2" s="1" t="s">
        <v>76</v>
      </c>
      <c r="D2" s="4" t="s">
        <v>77</v>
      </c>
      <c r="E2" s="1" t="s">
        <v>28</v>
      </c>
    </row>
    <row r="3" spans="1:7" x14ac:dyDescent="0.15">
      <c r="A3" s="1">
        <v>0</v>
      </c>
      <c r="B3" s="20" t="s">
        <v>790</v>
      </c>
      <c r="C3" s="1" t="s">
        <v>78</v>
      </c>
      <c r="D3" s="4" t="s">
        <v>79</v>
      </c>
      <c r="E3" s="1" t="s">
        <v>80</v>
      </c>
    </row>
    <row r="4" spans="1:7" x14ac:dyDescent="0.15">
      <c r="A4" s="1">
        <v>1</v>
      </c>
      <c r="B4" s="20" t="s">
        <v>523</v>
      </c>
      <c r="C4" s="1" t="s">
        <v>78</v>
      </c>
      <c r="D4" s="4" t="s">
        <v>81</v>
      </c>
      <c r="E4" s="1" t="s">
        <v>82</v>
      </c>
    </row>
    <row r="5" spans="1:7" x14ac:dyDescent="0.15">
      <c r="A5" s="1">
        <v>2</v>
      </c>
      <c r="B5" s="20" t="s">
        <v>524</v>
      </c>
      <c r="C5" s="1" t="s">
        <v>83</v>
      </c>
      <c r="D5" s="4" t="s">
        <v>84</v>
      </c>
      <c r="E5" s="1" t="s">
        <v>85</v>
      </c>
    </row>
    <row r="6" spans="1:7" x14ac:dyDescent="0.15">
      <c r="A6" s="1">
        <v>3</v>
      </c>
      <c r="B6" s="20" t="s">
        <v>525</v>
      </c>
      <c r="C6" s="1" t="s">
        <v>86</v>
      </c>
      <c r="D6" s="4" t="s">
        <v>87</v>
      </c>
      <c r="E6" s="1" t="s">
        <v>88</v>
      </c>
    </row>
    <row r="8" spans="1:7" x14ac:dyDescent="0.15">
      <c r="A8" s="18" t="s">
        <v>521</v>
      </c>
    </row>
    <row r="9" spans="1:7" x14ac:dyDescent="0.15">
      <c r="A9" s="18" t="s">
        <v>522</v>
      </c>
    </row>
    <row r="10" spans="1:7" x14ac:dyDescent="0.15">
      <c r="A10" s="18" t="s">
        <v>526</v>
      </c>
    </row>
  </sheetData>
  <phoneticPr fontId="9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17"/>
  <sheetViews>
    <sheetView workbookViewId="0">
      <pane ySplit="495" topLeftCell="A22" activePane="bottomLeft"/>
      <selection activeCell="G2" sqref="G2"/>
      <selection pane="bottomLeft" activeCell="E15" sqref="E15"/>
    </sheetView>
  </sheetViews>
  <sheetFormatPr defaultColWidth="9" defaultRowHeight="11.25" x14ac:dyDescent="0.15"/>
  <cols>
    <col min="1" max="3" width="9" style="1"/>
    <col min="4" max="4" width="21.625" style="1" customWidth="1"/>
    <col min="5" max="5" width="12.625" style="1" customWidth="1"/>
    <col min="6" max="6" width="16.375" style="1" customWidth="1"/>
    <col min="7" max="7" width="8" style="1" customWidth="1"/>
    <col min="8" max="8" width="7.625" style="1" customWidth="1"/>
    <col min="9" max="9" width="26.5" style="1" customWidth="1"/>
    <col min="10" max="10" width="1.75" style="1" customWidth="1"/>
    <col min="11" max="11" width="5.875" style="1" customWidth="1"/>
    <col min="12" max="12" width="16.625" style="1" customWidth="1"/>
    <col min="13" max="14" width="6.625" style="1" customWidth="1"/>
    <col min="15" max="16384" width="9" style="1"/>
  </cols>
  <sheetData>
    <row r="1" spans="1:15" s="5" customFormat="1" x14ac:dyDescent="0.15">
      <c r="A1" s="5" t="s">
        <v>21</v>
      </c>
      <c r="B1" s="5" t="s">
        <v>89</v>
      </c>
      <c r="C1" s="5" t="s">
        <v>90</v>
      </c>
      <c r="D1" s="5" t="s">
        <v>91</v>
      </c>
      <c r="E1" s="5" t="s">
        <v>92</v>
      </c>
      <c r="F1" s="5" t="s">
        <v>37</v>
      </c>
      <c r="G1" s="21" t="s">
        <v>574</v>
      </c>
      <c r="H1" s="12" t="s">
        <v>93</v>
      </c>
      <c r="I1" s="12" t="s">
        <v>94</v>
      </c>
      <c r="K1" s="5" t="s">
        <v>26</v>
      </c>
      <c r="L1" s="5" t="s">
        <v>89</v>
      </c>
      <c r="M1" s="5" t="s">
        <v>95</v>
      </c>
      <c r="N1" s="5" t="s">
        <v>94</v>
      </c>
    </row>
    <row r="2" spans="1:15" x14ac:dyDescent="0.15">
      <c r="A2" s="1" t="s">
        <v>23</v>
      </c>
      <c r="B2" s="1" t="s">
        <v>96</v>
      </c>
      <c r="C2" s="1" t="s">
        <v>97</v>
      </c>
      <c r="D2" s="1" t="s">
        <v>98</v>
      </c>
      <c r="E2" s="1" t="s">
        <v>99</v>
      </c>
      <c r="F2" s="1" t="s">
        <v>43</v>
      </c>
      <c r="G2" s="1" t="s">
        <v>76</v>
      </c>
      <c r="H2" s="11" t="s">
        <v>100</v>
      </c>
      <c r="I2" s="11" t="s">
        <v>28</v>
      </c>
      <c r="L2" s="1" t="s">
        <v>101</v>
      </c>
      <c r="M2" s="1" t="s">
        <v>102</v>
      </c>
      <c r="N2" s="18" t="s">
        <v>569</v>
      </c>
      <c r="O2" s="1" t="s">
        <v>103</v>
      </c>
    </row>
    <row r="3" spans="1:15" x14ac:dyDescent="0.15">
      <c r="A3" s="1">
        <v>1</v>
      </c>
      <c r="B3" s="1">
        <v>1</v>
      </c>
      <c r="C3" s="1">
        <v>0</v>
      </c>
      <c r="D3" s="11" t="s">
        <v>104</v>
      </c>
      <c r="E3" s="1">
        <v>1</v>
      </c>
      <c r="F3" s="18" t="s">
        <v>571</v>
      </c>
      <c r="G3" s="1">
        <v>1</v>
      </c>
      <c r="H3" s="1">
        <v>0</v>
      </c>
      <c r="I3" s="18" t="s">
        <v>578</v>
      </c>
      <c r="L3" s="1" t="s">
        <v>105</v>
      </c>
      <c r="M3" s="1">
        <v>1</v>
      </c>
      <c r="N3" s="18" t="s">
        <v>570</v>
      </c>
      <c r="O3" s="18" t="s">
        <v>575</v>
      </c>
    </row>
    <row r="4" spans="1:15" x14ac:dyDescent="0.15">
      <c r="A4" s="1">
        <v>2</v>
      </c>
      <c r="B4" s="1">
        <v>2</v>
      </c>
      <c r="C4" s="1">
        <v>0</v>
      </c>
      <c r="D4" s="11" t="s">
        <v>104</v>
      </c>
      <c r="E4" s="1">
        <v>5</v>
      </c>
      <c r="F4" s="18" t="s">
        <v>579</v>
      </c>
      <c r="G4" s="1">
        <v>1</v>
      </c>
      <c r="H4" s="1">
        <v>0</v>
      </c>
      <c r="I4" s="18" t="s">
        <v>577</v>
      </c>
      <c r="L4" s="1" t="s">
        <v>106</v>
      </c>
      <c r="M4" s="1">
        <v>2</v>
      </c>
      <c r="N4" s="18" t="s">
        <v>572</v>
      </c>
      <c r="O4" s="18" t="s">
        <v>573</v>
      </c>
    </row>
    <row r="5" spans="1:15" x14ac:dyDescent="0.15">
      <c r="A5" s="1">
        <v>3</v>
      </c>
      <c r="B5" s="1">
        <v>3</v>
      </c>
      <c r="C5" s="1">
        <v>2</v>
      </c>
      <c r="D5" s="11" t="s">
        <v>104</v>
      </c>
      <c r="E5" s="1">
        <v>5</v>
      </c>
      <c r="F5" s="18" t="s">
        <v>685</v>
      </c>
      <c r="G5" s="1">
        <v>6</v>
      </c>
      <c r="H5" s="1">
        <v>0</v>
      </c>
      <c r="I5" s="18" t="s">
        <v>580</v>
      </c>
      <c r="L5" s="1" t="s">
        <v>108</v>
      </c>
      <c r="M5" s="1">
        <v>3</v>
      </c>
      <c r="N5" s="18" t="s">
        <v>642</v>
      </c>
      <c r="O5" s="18" t="s">
        <v>652</v>
      </c>
    </row>
    <row r="6" spans="1:15" x14ac:dyDescent="0.15">
      <c r="A6" s="1">
        <v>4</v>
      </c>
      <c r="B6" s="1">
        <v>4</v>
      </c>
      <c r="C6" s="1">
        <v>2</v>
      </c>
      <c r="D6" s="11" t="s">
        <v>104</v>
      </c>
      <c r="E6" s="1">
        <v>5</v>
      </c>
      <c r="F6" s="1" t="s">
        <v>65</v>
      </c>
      <c r="G6" s="1">
        <v>6</v>
      </c>
      <c r="H6" s="1">
        <v>0</v>
      </c>
      <c r="I6" s="18" t="s">
        <v>581</v>
      </c>
      <c r="L6" s="1" t="s">
        <v>109</v>
      </c>
      <c r="M6" s="1">
        <v>4</v>
      </c>
      <c r="N6" s="18" t="s">
        <v>643</v>
      </c>
      <c r="O6" s="18" t="s">
        <v>653</v>
      </c>
    </row>
    <row r="7" spans="1:15" x14ac:dyDescent="0.15">
      <c r="A7" s="1">
        <v>6</v>
      </c>
      <c r="B7" s="1">
        <v>8</v>
      </c>
      <c r="C7" s="1">
        <v>2</v>
      </c>
      <c r="D7" s="23" t="s">
        <v>597</v>
      </c>
      <c r="E7" s="1">
        <v>6</v>
      </c>
      <c r="F7" s="18" t="s">
        <v>576</v>
      </c>
      <c r="G7" s="1">
        <v>17</v>
      </c>
      <c r="H7" s="1">
        <v>0</v>
      </c>
      <c r="I7" s="18" t="s">
        <v>582</v>
      </c>
      <c r="L7" s="1" t="s">
        <v>110</v>
      </c>
      <c r="M7" s="1">
        <v>7</v>
      </c>
      <c r="N7" s="18" t="s">
        <v>686</v>
      </c>
      <c r="O7" s="1" t="s">
        <v>111</v>
      </c>
    </row>
    <row r="8" spans="1:15" x14ac:dyDescent="0.15">
      <c r="A8" s="1">
        <v>7</v>
      </c>
      <c r="B8" s="1">
        <v>7</v>
      </c>
      <c r="C8" s="1">
        <v>0</v>
      </c>
      <c r="D8" s="11" t="s">
        <v>104</v>
      </c>
      <c r="E8" s="1">
        <v>-1</v>
      </c>
      <c r="F8" s="18" t="s">
        <v>687</v>
      </c>
      <c r="G8" s="1">
        <v>9</v>
      </c>
      <c r="H8" s="1">
        <v>0</v>
      </c>
      <c r="I8" s="18" t="s">
        <v>718</v>
      </c>
      <c r="L8" s="18" t="s">
        <v>543</v>
      </c>
      <c r="M8" s="1">
        <v>8</v>
      </c>
      <c r="N8" s="18" t="s">
        <v>641</v>
      </c>
      <c r="O8" s="18" t="s">
        <v>544</v>
      </c>
    </row>
    <row r="9" spans="1:15" x14ac:dyDescent="0.15">
      <c r="A9" s="1">
        <v>8</v>
      </c>
      <c r="B9" s="1">
        <v>8</v>
      </c>
      <c r="C9" s="1">
        <v>2</v>
      </c>
      <c r="D9" s="23" t="s">
        <v>545</v>
      </c>
      <c r="E9" s="1" t="s">
        <v>112</v>
      </c>
      <c r="F9" s="18" t="s">
        <v>688</v>
      </c>
      <c r="G9" s="1">
        <v>17</v>
      </c>
      <c r="H9" s="1">
        <v>0</v>
      </c>
      <c r="I9" s="18" t="s">
        <v>583</v>
      </c>
      <c r="L9" s="1" t="s">
        <v>113</v>
      </c>
      <c r="M9" s="1">
        <v>13</v>
      </c>
      <c r="N9" s="18" t="s">
        <v>644</v>
      </c>
      <c r="O9" s="18" t="s">
        <v>645</v>
      </c>
    </row>
    <row r="10" spans="1:15" x14ac:dyDescent="0.15">
      <c r="A10" s="1">
        <v>9</v>
      </c>
      <c r="B10" s="1">
        <v>8</v>
      </c>
      <c r="C10" s="1">
        <v>2</v>
      </c>
      <c r="D10" s="23" t="s">
        <v>584</v>
      </c>
      <c r="E10" s="1" t="s">
        <v>112</v>
      </c>
      <c r="F10" s="18" t="s">
        <v>689</v>
      </c>
      <c r="G10" s="1">
        <v>17</v>
      </c>
      <c r="H10" s="1">
        <v>0</v>
      </c>
      <c r="I10" s="18" t="s">
        <v>585</v>
      </c>
      <c r="L10" s="1" t="s">
        <v>115</v>
      </c>
      <c r="M10" s="1">
        <v>15</v>
      </c>
      <c r="N10" s="18" t="s">
        <v>646</v>
      </c>
      <c r="O10" s="18" t="s">
        <v>647</v>
      </c>
    </row>
    <row r="11" spans="1:15" x14ac:dyDescent="0.15">
      <c r="A11" s="1">
        <v>10</v>
      </c>
      <c r="B11" s="1">
        <v>8</v>
      </c>
      <c r="C11" s="1">
        <v>2</v>
      </c>
      <c r="D11" s="23" t="s">
        <v>586</v>
      </c>
      <c r="E11" s="1" t="s">
        <v>112</v>
      </c>
      <c r="F11" s="18" t="s">
        <v>690</v>
      </c>
      <c r="G11" s="1">
        <v>17</v>
      </c>
      <c r="H11" s="1">
        <v>0</v>
      </c>
      <c r="I11" s="18" t="s">
        <v>588</v>
      </c>
      <c r="L11" s="1" t="s">
        <v>116</v>
      </c>
      <c r="M11" s="1">
        <v>16</v>
      </c>
      <c r="N11" s="18" t="s">
        <v>648</v>
      </c>
      <c r="O11" s="1" t="s">
        <v>117</v>
      </c>
    </row>
    <row r="12" spans="1:15" x14ac:dyDescent="0.15">
      <c r="A12" s="1">
        <v>11</v>
      </c>
      <c r="B12" s="1">
        <v>8</v>
      </c>
      <c r="C12" s="1">
        <v>2</v>
      </c>
      <c r="D12" s="23" t="s">
        <v>594</v>
      </c>
      <c r="E12" s="1">
        <v>5</v>
      </c>
      <c r="F12" s="18" t="s">
        <v>595</v>
      </c>
      <c r="G12" s="1">
        <v>13</v>
      </c>
      <c r="H12" s="1">
        <v>0</v>
      </c>
      <c r="I12" s="23" t="s">
        <v>596</v>
      </c>
      <c r="L12" s="18" t="s">
        <v>781</v>
      </c>
      <c r="M12" s="1">
        <v>17</v>
      </c>
      <c r="N12" s="18" t="s">
        <v>649</v>
      </c>
      <c r="O12" s="18" t="s">
        <v>547</v>
      </c>
    </row>
    <row r="13" spans="1:15" x14ac:dyDescent="0.15">
      <c r="A13" s="1">
        <v>12</v>
      </c>
      <c r="B13" s="1">
        <v>17</v>
      </c>
      <c r="C13" s="1">
        <v>2</v>
      </c>
      <c r="D13" s="23" t="s">
        <v>591</v>
      </c>
      <c r="E13" s="1">
        <v>5</v>
      </c>
      <c r="F13" s="18" t="s">
        <v>589</v>
      </c>
      <c r="G13" s="1">
        <v>12</v>
      </c>
      <c r="H13" s="1">
        <v>0</v>
      </c>
      <c r="I13" s="18" t="s">
        <v>590</v>
      </c>
      <c r="L13" s="1" t="s">
        <v>118</v>
      </c>
      <c r="M13" s="1">
        <v>18</v>
      </c>
      <c r="N13" s="18" t="s">
        <v>639</v>
      </c>
      <c r="O13" s="18" t="s">
        <v>638</v>
      </c>
    </row>
    <row r="14" spans="1:15" x14ac:dyDescent="0.15">
      <c r="A14" s="1">
        <v>13</v>
      </c>
      <c r="B14" s="1">
        <v>13</v>
      </c>
      <c r="C14" s="1">
        <v>2</v>
      </c>
      <c r="D14" s="11" t="s">
        <v>104</v>
      </c>
      <c r="E14" s="1">
        <v>1</v>
      </c>
      <c r="F14" s="18" t="s">
        <v>691</v>
      </c>
      <c r="G14" s="1">
        <v>1</v>
      </c>
      <c r="H14" s="1">
        <v>0</v>
      </c>
      <c r="I14" s="18" t="s">
        <v>707</v>
      </c>
      <c r="L14" s="1" t="s">
        <v>120</v>
      </c>
      <c r="M14" s="1">
        <v>19</v>
      </c>
      <c r="N14" s="18" t="s">
        <v>636</v>
      </c>
      <c r="O14" s="18" t="s">
        <v>637</v>
      </c>
    </row>
    <row r="15" spans="1:15" x14ac:dyDescent="0.15">
      <c r="A15" s="1">
        <v>14</v>
      </c>
      <c r="B15" s="1">
        <v>17</v>
      </c>
      <c r="C15" s="1">
        <v>2</v>
      </c>
      <c r="D15" s="23" t="s">
        <v>593</v>
      </c>
      <c r="E15" s="1">
        <v>5</v>
      </c>
      <c r="F15" s="1" t="s">
        <v>114</v>
      </c>
      <c r="G15" s="1">
        <v>16</v>
      </c>
      <c r="H15" s="1">
        <v>0</v>
      </c>
      <c r="I15" s="23" t="s">
        <v>592</v>
      </c>
      <c r="L15" s="1" t="s">
        <v>122</v>
      </c>
      <c r="M15" s="1">
        <v>20</v>
      </c>
      <c r="N15" s="18" t="s">
        <v>634</v>
      </c>
      <c r="O15" s="18" t="s">
        <v>635</v>
      </c>
    </row>
    <row r="16" spans="1:15" x14ac:dyDescent="0.15">
      <c r="A16" s="1">
        <v>15</v>
      </c>
      <c r="B16" s="1">
        <v>15</v>
      </c>
      <c r="C16" s="1">
        <v>2</v>
      </c>
      <c r="D16" s="11" t="s">
        <v>104</v>
      </c>
      <c r="E16" s="1">
        <v>3</v>
      </c>
      <c r="F16" s="18" t="s">
        <v>692</v>
      </c>
      <c r="G16" s="1">
        <v>5</v>
      </c>
      <c r="H16" s="1">
        <v>0</v>
      </c>
      <c r="I16" s="18" t="s">
        <v>647</v>
      </c>
      <c r="L16" s="1" t="s">
        <v>123</v>
      </c>
      <c r="M16" s="1">
        <v>21</v>
      </c>
      <c r="N16" s="18" t="s">
        <v>650</v>
      </c>
      <c r="O16" s="18" t="s">
        <v>606</v>
      </c>
    </row>
    <row r="17" spans="1:15" x14ac:dyDescent="0.15">
      <c r="A17" s="1">
        <v>16</v>
      </c>
      <c r="B17" s="1">
        <v>16</v>
      </c>
      <c r="C17" s="1">
        <v>2</v>
      </c>
      <c r="D17" s="11" t="s">
        <v>104</v>
      </c>
      <c r="E17" s="1">
        <v>0</v>
      </c>
      <c r="F17" s="18" t="s">
        <v>693</v>
      </c>
      <c r="G17" s="1">
        <v>1</v>
      </c>
      <c r="H17" s="1">
        <v>0</v>
      </c>
      <c r="I17" s="1" t="s">
        <v>117</v>
      </c>
      <c r="L17" s="1" t="s">
        <v>124</v>
      </c>
      <c r="M17" s="1">
        <v>24</v>
      </c>
      <c r="N17" s="18" t="s">
        <v>633</v>
      </c>
      <c r="O17" s="1" t="s">
        <v>125</v>
      </c>
    </row>
    <row r="18" spans="1:15" x14ac:dyDescent="0.15">
      <c r="A18" s="1">
        <v>17</v>
      </c>
      <c r="B18" s="1">
        <v>17</v>
      </c>
      <c r="C18" s="1">
        <v>0</v>
      </c>
      <c r="D18" s="23" t="s">
        <v>546</v>
      </c>
      <c r="E18" s="1">
        <v>9</v>
      </c>
      <c r="F18" s="18" t="s">
        <v>694</v>
      </c>
      <c r="G18" s="1">
        <v>12</v>
      </c>
      <c r="H18" s="1">
        <v>0</v>
      </c>
      <c r="I18" s="18" t="s">
        <v>719</v>
      </c>
      <c r="L18" s="1" t="s">
        <v>128</v>
      </c>
      <c r="M18" s="1">
        <v>34</v>
      </c>
      <c r="N18" s="18" t="s">
        <v>631</v>
      </c>
      <c r="O18" s="18" t="s">
        <v>632</v>
      </c>
    </row>
    <row r="19" spans="1:15" x14ac:dyDescent="0.15">
      <c r="A19" s="1">
        <v>18</v>
      </c>
      <c r="B19" s="1">
        <v>18</v>
      </c>
      <c r="C19" s="1">
        <v>2</v>
      </c>
      <c r="D19" s="11" t="s">
        <v>104</v>
      </c>
      <c r="E19" s="1">
        <v>5</v>
      </c>
      <c r="F19" s="18" t="s">
        <v>695</v>
      </c>
      <c r="G19" s="1">
        <v>1</v>
      </c>
      <c r="H19" s="1">
        <v>0</v>
      </c>
      <c r="I19" s="18" t="s">
        <v>725</v>
      </c>
      <c r="L19" s="1" t="s">
        <v>129</v>
      </c>
      <c r="M19" s="1">
        <v>35</v>
      </c>
      <c r="N19" s="18" t="s">
        <v>630</v>
      </c>
      <c r="O19" s="18" t="s">
        <v>629</v>
      </c>
    </row>
    <row r="20" spans="1:15" x14ac:dyDescent="0.15">
      <c r="A20" s="1">
        <v>19</v>
      </c>
      <c r="B20" s="1">
        <v>19</v>
      </c>
      <c r="C20" s="1">
        <v>2</v>
      </c>
      <c r="D20" s="11" t="s">
        <v>104</v>
      </c>
      <c r="E20" s="1">
        <v>6</v>
      </c>
      <c r="F20" s="1" t="s">
        <v>119</v>
      </c>
      <c r="G20" s="1">
        <v>1</v>
      </c>
      <c r="H20" s="1">
        <v>0</v>
      </c>
      <c r="I20" s="18" t="s">
        <v>724</v>
      </c>
      <c r="L20" s="1" t="s">
        <v>131</v>
      </c>
      <c r="M20" s="1">
        <v>37</v>
      </c>
      <c r="N20" s="18" t="s">
        <v>702</v>
      </c>
      <c r="O20" s="18" t="s">
        <v>627</v>
      </c>
    </row>
    <row r="21" spans="1:15" x14ac:dyDescent="0.15">
      <c r="A21" s="1">
        <v>20</v>
      </c>
      <c r="B21" s="1">
        <v>20</v>
      </c>
      <c r="C21" s="1">
        <v>2</v>
      </c>
      <c r="D21" s="11" t="s">
        <v>104</v>
      </c>
      <c r="E21" s="1" t="s">
        <v>112</v>
      </c>
      <c r="F21" s="1" t="s">
        <v>121</v>
      </c>
      <c r="G21" s="1">
        <v>1</v>
      </c>
      <c r="H21" s="1">
        <v>0</v>
      </c>
      <c r="I21" s="18" t="s">
        <v>723</v>
      </c>
      <c r="L21" s="1" t="s">
        <v>133</v>
      </c>
      <c r="M21" s="1">
        <v>38</v>
      </c>
      <c r="N21" s="18" t="s">
        <v>626</v>
      </c>
      <c r="O21" s="18" t="s">
        <v>616</v>
      </c>
    </row>
    <row r="22" spans="1:15" x14ac:dyDescent="0.15">
      <c r="A22" s="1">
        <v>21</v>
      </c>
      <c r="B22" s="1">
        <v>21</v>
      </c>
      <c r="C22" s="1">
        <v>2</v>
      </c>
      <c r="D22" s="23" t="s">
        <v>607</v>
      </c>
      <c r="E22" s="1">
        <v>5</v>
      </c>
      <c r="F22" s="18" t="s">
        <v>696</v>
      </c>
      <c r="G22" s="1">
        <v>12</v>
      </c>
      <c r="H22" s="1">
        <v>0</v>
      </c>
      <c r="I22" s="18" t="s">
        <v>722</v>
      </c>
      <c r="L22" s="1" t="s">
        <v>135</v>
      </c>
      <c r="M22" s="1">
        <v>42</v>
      </c>
      <c r="N22" s="18" t="s">
        <v>625</v>
      </c>
      <c r="O22" s="18" t="s">
        <v>598</v>
      </c>
    </row>
    <row r="23" spans="1:15" x14ac:dyDescent="0.15">
      <c r="A23" s="1">
        <v>30</v>
      </c>
      <c r="B23" s="1">
        <v>50</v>
      </c>
      <c r="C23" s="1">
        <v>2</v>
      </c>
      <c r="D23" s="23" t="s">
        <v>538</v>
      </c>
      <c r="E23" s="1" t="s">
        <v>112</v>
      </c>
      <c r="F23" s="18" t="s">
        <v>697</v>
      </c>
      <c r="G23" s="1">
        <v>12</v>
      </c>
      <c r="H23" s="1">
        <v>0</v>
      </c>
      <c r="I23" s="18" t="s">
        <v>700</v>
      </c>
      <c r="L23" s="18" t="s">
        <v>537</v>
      </c>
      <c r="M23" s="1">
        <v>44</v>
      </c>
      <c r="N23" s="18" t="s">
        <v>640</v>
      </c>
      <c r="O23" s="18" t="s">
        <v>599</v>
      </c>
    </row>
    <row r="24" spans="1:15" x14ac:dyDescent="0.15">
      <c r="A24" s="1">
        <v>31</v>
      </c>
      <c r="B24" s="1">
        <v>50</v>
      </c>
      <c r="C24" s="1">
        <v>2</v>
      </c>
      <c r="D24" s="23" t="s">
        <v>538</v>
      </c>
      <c r="E24" s="1" t="s">
        <v>126</v>
      </c>
      <c r="F24" s="18" t="s">
        <v>698</v>
      </c>
      <c r="G24" s="1">
        <v>12</v>
      </c>
      <c r="H24" s="1">
        <v>0</v>
      </c>
      <c r="I24" s="18" t="s">
        <v>559</v>
      </c>
      <c r="L24" s="1" t="s">
        <v>144</v>
      </c>
      <c r="M24" s="1">
        <v>49</v>
      </c>
      <c r="N24" s="18" t="s">
        <v>623</v>
      </c>
      <c r="O24" s="18" t="s">
        <v>624</v>
      </c>
    </row>
    <row r="25" spans="1:15" x14ac:dyDescent="0.15">
      <c r="A25" s="1">
        <v>32</v>
      </c>
      <c r="B25" s="1">
        <v>17</v>
      </c>
      <c r="C25" s="1">
        <v>2</v>
      </c>
      <c r="D25" s="23" t="s">
        <v>554</v>
      </c>
      <c r="E25" s="1">
        <v>18</v>
      </c>
      <c r="F25" s="18" t="s">
        <v>701</v>
      </c>
      <c r="G25" s="1">
        <v>12</v>
      </c>
      <c r="H25" s="1">
        <v>0</v>
      </c>
      <c r="I25" s="1" t="s">
        <v>699</v>
      </c>
      <c r="L25" s="18" t="s">
        <v>536</v>
      </c>
      <c r="M25" s="1">
        <v>50</v>
      </c>
      <c r="N25" s="18" t="s">
        <v>651</v>
      </c>
      <c r="O25" s="18" t="s">
        <v>600</v>
      </c>
    </row>
    <row r="26" spans="1:15" x14ac:dyDescent="0.15">
      <c r="A26" s="1">
        <v>34</v>
      </c>
      <c r="B26" s="1">
        <v>34</v>
      </c>
      <c r="C26" s="1">
        <v>2</v>
      </c>
      <c r="D26" s="11" t="s">
        <v>104</v>
      </c>
      <c r="E26" s="1">
        <v>5</v>
      </c>
      <c r="F26" s="1" t="s">
        <v>127</v>
      </c>
      <c r="G26" s="1">
        <v>6</v>
      </c>
      <c r="H26" s="1">
        <v>0</v>
      </c>
      <c r="I26" s="18" t="s">
        <v>632</v>
      </c>
      <c r="L26" s="1" t="s">
        <v>148</v>
      </c>
      <c r="M26" s="1">
        <v>52</v>
      </c>
      <c r="N26" s="18" t="s">
        <v>621</v>
      </c>
      <c r="O26" s="18" t="s">
        <v>622</v>
      </c>
    </row>
    <row r="27" spans="1:15" x14ac:dyDescent="0.15">
      <c r="A27" s="1">
        <v>35</v>
      </c>
      <c r="B27" s="1">
        <v>35</v>
      </c>
      <c r="C27" s="1">
        <v>2</v>
      </c>
      <c r="D27" s="11" t="s">
        <v>104</v>
      </c>
      <c r="E27" s="1">
        <v>5</v>
      </c>
      <c r="F27" s="18" t="s">
        <v>676</v>
      </c>
      <c r="G27" s="1">
        <v>14</v>
      </c>
      <c r="H27" s="1">
        <v>0</v>
      </c>
      <c r="I27" s="18" t="s">
        <v>706</v>
      </c>
      <c r="L27" s="1" t="s">
        <v>154</v>
      </c>
      <c r="M27" s="1">
        <v>54</v>
      </c>
      <c r="N27" s="18" t="s">
        <v>619</v>
      </c>
      <c r="O27" s="18" t="s">
        <v>620</v>
      </c>
    </row>
    <row r="28" spans="1:15" x14ac:dyDescent="0.15">
      <c r="A28" s="1">
        <v>36</v>
      </c>
      <c r="B28" s="1">
        <v>2</v>
      </c>
      <c r="C28" s="1">
        <v>2</v>
      </c>
      <c r="D28" s="11" t="s">
        <v>104</v>
      </c>
      <c r="E28" s="1">
        <v>12</v>
      </c>
      <c r="F28" s="18" t="s">
        <v>512</v>
      </c>
      <c r="G28" s="1">
        <v>1</v>
      </c>
      <c r="H28" s="1">
        <v>0</v>
      </c>
      <c r="I28" s="1" t="s">
        <v>130</v>
      </c>
      <c r="L28" s="1" t="s">
        <v>156</v>
      </c>
      <c r="M28" s="1">
        <v>55</v>
      </c>
      <c r="N28" s="18" t="s">
        <v>617</v>
      </c>
      <c r="O28" s="18" t="s">
        <v>618</v>
      </c>
    </row>
    <row r="29" spans="1:15" x14ac:dyDescent="0.15">
      <c r="A29" s="1">
        <v>37</v>
      </c>
      <c r="B29" s="1">
        <v>37</v>
      </c>
      <c r="C29" s="1">
        <v>2</v>
      </c>
      <c r="D29" s="11" t="s">
        <v>104</v>
      </c>
      <c r="E29" s="1">
        <v>5</v>
      </c>
      <c r="F29" s="18" t="s">
        <v>628</v>
      </c>
      <c r="G29" s="1">
        <v>1</v>
      </c>
      <c r="H29" s="1">
        <v>0</v>
      </c>
      <c r="I29" s="18" t="s">
        <v>705</v>
      </c>
      <c r="L29" s="1" t="s">
        <v>151</v>
      </c>
      <c r="M29" s="1">
        <v>53</v>
      </c>
      <c r="N29" s="18" t="s">
        <v>709</v>
      </c>
      <c r="O29" s="1" t="s">
        <v>152</v>
      </c>
    </row>
    <row r="30" spans="1:15" x14ac:dyDescent="0.15">
      <c r="A30" s="1">
        <v>38</v>
      </c>
      <c r="B30" s="1">
        <v>38</v>
      </c>
      <c r="C30" s="1">
        <v>2</v>
      </c>
      <c r="D30" s="11" t="s">
        <v>104</v>
      </c>
      <c r="E30" s="1">
        <v>4</v>
      </c>
      <c r="F30" s="18" t="s">
        <v>703</v>
      </c>
      <c r="G30" s="1">
        <v>1</v>
      </c>
      <c r="H30" s="1">
        <v>0</v>
      </c>
      <c r="I30" s="18" t="s">
        <v>704</v>
      </c>
    </row>
    <row r="31" spans="1:15" x14ac:dyDescent="0.15">
      <c r="A31" s="1">
        <v>39</v>
      </c>
      <c r="B31" s="1">
        <v>2</v>
      </c>
      <c r="C31" s="1">
        <v>2</v>
      </c>
      <c r="D31" s="23" t="s">
        <v>615</v>
      </c>
      <c r="E31" s="1">
        <v>5</v>
      </c>
      <c r="F31" s="1" t="s">
        <v>132</v>
      </c>
      <c r="G31" s="1">
        <v>5</v>
      </c>
      <c r="H31" s="1">
        <v>2</v>
      </c>
      <c r="I31" s="18" t="s">
        <v>667</v>
      </c>
    </row>
    <row r="32" spans="1:15" x14ac:dyDescent="0.15">
      <c r="A32" s="1">
        <v>42</v>
      </c>
      <c r="B32" s="1">
        <v>42</v>
      </c>
      <c r="C32" s="1">
        <v>2</v>
      </c>
      <c r="D32" s="11" t="s">
        <v>104</v>
      </c>
      <c r="E32" s="1">
        <v>-1</v>
      </c>
      <c r="F32" s="1" t="s">
        <v>134</v>
      </c>
      <c r="G32" s="1">
        <v>1</v>
      </c>
      <c r="H32" s="1">
        <v>0</v>
      </c>
      <c r="I32" s="18" t="s">
        <v>717</v>
      </c>
    </row>
    <row r="33" spans="1:9" x14ac:dyDescent="0.15">
      <c r="A33" s="1">
        <v>43</v>
      </c>
      <c r="B33" s="1">
        <v>50</v>
      </c>
      <c r="C33" s="1">
        <v>0</v>
      </c>
      <c r="D33" s="11" t="s">
        <v>136</v>
      </c>
      <c r="E33" s="1">
        <v>9</v>
      </c>
      <c r="F33" s="18" t="s">
        <v>715</v>
      </c>
      <c r="G33" s="1">
        <v>12</v>
      </c>
      <c r="H33" s="1">
        <v>0</v>
      </c>
      <c r="I33" s="18" t="s">
        <v>714</v>
      </c>
    </row>
    <row r="34" spans="1:9" x14ac:dyDescent="0.15">
      <c r="A34" s="1">
        <v>44</v>
      </c>
      <c r="B34" s="1">
        <v>44</v>
      </c>
      <c r="C34" s="1">
        <v>0</v>
      </c>
      <c r="D34" s="11" t="s">
        <v>136</v>
      </c>
      <c r="E34" s="1">
        <v>9</v>
      </c>
      <c r="F34" s="18" t="s">
        <v>716</v>
      </c>
      <c r="G34" s="1">
        <v>1</v>
      </c>
      <c r="H34" s="1">
        <v>0</v>
      </c>
      <c r="I34" s="11" t="s">
        <v>137</v>
      </c>
    </row>
    <row r="35" spans="1:9" x14ac:dyDescent="0.15">
      <c r="A35" s="1">
        <v>45</v>
      </c>
      <c r="B35" s="1">
        <v>2</v>
      </c>
      <c r="C35" s="1">
        <v>2</v>
      </c>
      <c r="D35" s="23" t="s">
        <v>614</v>
      </c>
      <c r="E35" s="1">
        <v>5</v>
      </c>
      <c r="F35" s="1" t="s">
        <v>138</v>
      </c>
      <c r="G35" s="1">
        <v>5</v>
      </c>
      <c r="H35" s="1">
        <v>4</v>
      </c>
      <c r="I35" s="18" t="s">
        <v>608</v>
      </c>
    </row>
    <row r="36" spans="1:9" x14ac:dyDescent="0.15">
      <c r="A36" s="1">
        <v>46</v>
      </c>
      <c r="B36" s="1">
        <v>17</v>
      </c>
      <c r="C36" s="1">
        <v>2</v>
      </c>
      <c r="D36" s="23" t="s">
        <v>782</v>
      </c>
      <c r="E36" s="1">
        <v>4</v>
      </c>
      <c r="F36" s="18" t="s">
        <v>612</v>
      </c>
      <c r="G36" s="1">
        <v>12</v>
      </c>
      <c r="H36" s="1">
        <v>0</v>
      </c>
      <c r="I36" s="18" t="s">
        <v>613</v>
      </c>
    </row>
    <row r="37" spans="1:9" x14ac:dyDescent="0.15">
      <c r="A37" s="1">
        <v>47</v>
      </c>
      <c r="B37" s="1">
        <v>2</v>
      </c>
      <c r="C37" s="1">
        <v>2</v>
      </c>
      <c r="D37" s="11" t="s">
        <v>104</v>
      </c>
      <c r="E37" s="1">
        <v>5</v>
      </c>
      <c r="F37" s="1" t="s">
        <v>140</v>
      </c>
      <c r="G37" s="1">
        <v>5</v>
      </c>
      <c r="H37" s="1">
        <v>3</v>
      </c>
      <c r="I37" s="18" t="s">
        <v>609</v>
      </c>
    </row>
    <row r="38" spans="1:9" x14ac:dyDescent="0.15">
      <c r="A38" s="1">
        <v>49</v>
      </c>
      <c r="B38" s="1">
        <v>49</v>
      </c>
      <c r="C38" s="1">
        <v>2</v>
      </c>
      <c r="D38" s="11" t="s">
        <v>104</v>
      </c>
      <c r="E38" s="1" t="s">
        <v>126</v>
      </c>
      <c r="F38" s="1" t="s">
        <v>141</v>
      </c>
      <c r="G38" s="1">
        <v>1</v>
      </c>
      <c r="H38" s="1">
        <v>0</v>
      </c>
      <c r="I38" s="18" t="s">
        <v>624</v>
      </c>
    </row>
    <row r="39" spans="1:9" x14ac:dyDescent="0.15">
      <c r="A39" s="1">
        <v>50</v>
      </c>
      <c r="B39" s="1">
        <v>50</v>
      </c>
      <c r="C39" s="1">
        <v>0</v>
      </c>
      <c r="D39" s="11" t="s">
        <v>142</v>
      </c>
      <c r="E39" s="1">
        <v>9</v>
      </c>
      <c r="F39" s="18" t="s">
        <v>713</v>
      </c>
      <c r="G39" s="1">
        <v>1</v>
      </c>
      <c r="H39" s="1">
        <v>0</v>
      </c>
      <c r="I39" s="1" t="s">
        <v>143</v>
      </c>
    </row>
    <row r="40" spans="1:9" x14ac:dyDescent="0.15">
      <c r="A40" s="1">
        <v>51</v>
      </c>
      <c r="B40" s="1">
        <v>44</v>
      </c>
      <c r="C40" s="1">
        <v>2</v>
      </c>
      <c r="D40" s="11" t="s">
        <v>145</v>
      </c>
      <c r="E40" s="1">
        <v>9</v>
      </c>
      <c r="F40" s="11" t="s">
        <v>146</v>
      </c>
      <c r="G40" s="1">
        <v>1</v>
      </c>
      <c r="H40" s="1">
        <v>0</v>
      </c>
      <c r="I40" s="11" t="s">
        <v>147</v>
      </c>
    </row>
    <row r="41" spans="1:9" x14ac:dyDescent="0.15">
      <c r="A41" s="1">
        <v>52</v>
      </c>
      <c r="B41" s="1">
        <v>52</v>
      </c>
      <c r="C41" s="1">
        <v>2</v>
      </c>
      <c r="D41" s="11" t="s">
        <v>104</v>
      </c>
      <c r="E41" s="1">
        <v>6</v>
      </c>
      <c r="F41" s="18" t="s">
        <v>532</v>
      </c>
      <c r="G41" s="1">
        <v>17</v>
      </c>
      <c r="H41" s="1">
        <v>0</v>
      </c>
      <c r="I41" s="1" t="s">
        <v>710</v>
      </c>
    </row>
    <row r="42" spans="1:9" x14ac:dyDescent="0.15">
      <c r="A42" s="1">
        <v>53</v>
      </c>
      <c r="B42" s="1">
        <v>53</v>
      </c>
      <c r="C42" s="1">
        <v>2</v>
      </c>
      <c r="D42" s="11" t="s">
        <v>149</v>
      </c>
      <c r="E42" s="1">
        <v>3</v>
      </c>
      <c r="F42" s="18" t="s">
        <v>708</v>
      </c>
      <c r="G42" s="1">
        <v>1</v>
      </c>
      <c r="H42" s="1">
        <v>0</v>
      </c>
      <c r="I42" s="1" t="s">
        <v>150</v>
      </c>
    </row>
    <row r="43" spans="1:9" x14ac:dyDescent="0.15">
      <c r="A43" s="1">
        <v>54</v>
      </c>
      <c r="B43" s="1">
        <v>54</v>
      </c>
      <c r="C43" s="1">
        <v>2</v>
      </c>
      <c r="D43" s="11" t="s">
        <v>104</v>
      </c>
      <c r="E43" s="1">
        <v>1</v>
      </c>
      <c r="F43" s="1" t="s">
        <v>153</v>
      </c>
      <c r="G43" s="1">
        <v>1</v>
      </c>
      <c r="H43" s="1">
        <v>0</v>
      </c>
      <c r="I43" s="18" t="s">
        <v>711</v>
      </c>
    </row>
    <row r="44" spans="1:9" x14ac:dyDescent="0.15">
      <c r="A44" s="1">
        <v>55</v>
      </c>
      <c r="B44" s="1">
        <v>55</v>
      </c>
      <c r="C44" s="1">
        <v>0</v>
      </c>
      <c r="D44" s="11" t="s">
        <v>104</v>
      </c>
      <c r="E44" s="1">
        <v>5</v>
      </c>
      <c r="F44" s="1" t="s">
        <v>155</v>
      </c>
      <c r="G44" s="1">
        <v>1</v>
      </c>
      <c r="H44" s="1">
        <v>0</v>
      </c>
      <c r="I44" s="18" t="s">
        <v>712</v>
      </c>
    </row>
    <row r="45" spans="1:9" x14ac:dyDescent="0.15">
      <c r="A45" s="1">
        <v>57</v>
      </c>
      <c r="B45" s="1">
        <v>17</v>
      </c>
      <c r="C45" s="1">
        <v>2</v>
      </c>
      <c r="D45" s="23" t="s">
        <v>603</v>
      </c>
      <c r="E45" s="1">
        <v>16</v>
      </c>
      <c r="F45" s="18" t="s">
        <v>605</v>
      </c>
      <c r="G45" s="1">
        <v>12</v>
      </c>
      <c r="H45" s="1">
        <v>0</v>
      </c>
      <c r="I45" s="18" t="s">
        <v>604</v>
      </c>
    </row>
    <row r="46" spans="1:9" x14ac:dyDescent="0.15">
      <c r="A46" s="1">
        <v>58</v>
      </c>
      <c r="B46" s="1">
        <v>17</v>
      </c>
      <c r="C46" s="1">
        <v>2</v>
      </c>
      <c r="D46" s="23" t="s">
        <v>602</v>
      </c>
      <c r="E46" s="1">
        <v>5</v>
      </c>
      <c r="F46" s="1" t="s">
        <v>157</v>
      </c>
      <c r="G46" s="1">
        <v>12</v>
      </c>
      <c r="H46" s="1">
        <v>0</v>
      </c>
      <c r="I46" s="18" t="s">
        <v>601</v>
      </c>
    </row>
    <row r="47" spans="1:9" x14ac:dyDescent="0.15">
      <c r="A47" s="1">
        <v>59</v>
      </c>
      <c r="B47" s="1">
        <v>2</v>
      </c>
      <c r="C47" s="1">
        <v>2</v>
      </c>
      <c r="D47" s="11" t="s">
        <v>104</v>
      </c>
      <c r="E47" s="1">
        <v>5</v>
      </c>
      <c r="F47" s="1" t="s">
        <v>158</v>
      </c>
      <c r="G47" s="1">
        <v>3</v>
      </c>
      <c r="H47" s="1">
        <v>0</v>
      </c>
      <c r="I47" s="1" t="s">
        <v>159</v>
      </c>
    </row>
    <row r="48" spans="1:9" x14ac:dyDescent="0.15">
      <c r="A48" s="1">
        <v>60</v>
      </c>
      <c r="B48" s="1">
        <v>44</v>
      </c>
      <c r="C48" s="1">
        <v>0</v>
      </c>
      <c r="D48" s="11" t="s">
        <v>160</v>
      </c>
      <c r="E48" s="1">
        <v>9</v>
      </c>
      <c r="F48" s="11" t="s">
        <v>161</v>
      </c>
      <c r="G48" s="1">
        <v>1</v>
      </c>
      <c r="H48" s="1">
        <v>0</v>
      </c>
      <c r="I48" s="11" t="s">
        <v>162</v>
      </c>
    </row>
    <row r="49" spans="1:9" x14ac:dyDescent="0.15">
      <c r="A49" s="1">
        <v>61</v>
      </c>
      <c r="B49" s="1">
        <v>2</v>
      </c>
      <c r="C49" s="1">
        <v>2</v>
      </c>
      <c r="D49" s="11" t="s">
        <v>163</v>
      </c>
      <c r="E49" s="1">
        <v>5</v>
      </c>
      <c r="F49" s="1" t="s">
        <v>780</v>
      </c>
      <c r="G49" s="1">
        <v>5</v>
      </c>
      <c r="H49" s="1">
        <v>1</v>
      </c>
      <c r="I49" s="11" t="s">
        <v>164</v>
      </c>
    </row>
    <row r="50" spans="1:9" x14ac:dyDescent="0.15">
      <c r="A50" s="1">
        <v>62</v>
      </c>
      <c r="B50" s="1">
        <v>16</v>
      </c>
      <c r="C50" s="1">
        <v>2</v>
      </c>
      <c r="D50" s="18" t="s">
        <v>514</v>
      </c>
      <c r="E50" s="1">
        <v>17</v>
      </c>
      <c r="F50" s="18" t="s">
        <v>513</v>
      </c>
      <c r="G50" s="1">
        <v>1</v>
      </c>
      <c r="H50" s="1">
        <v>0</v>
      </c>
      <c r="I50" s="19" t="s">
        <v>519</v>
      </c>
    </row>
    <row r="51" spans="1:9" x14ac:dyDescent="0.15">
      <c r="A51" s="1">
        <v>63</v>
      </c>
      <c r="B51" s="1">
        <v>3</v>
      </c>
      <c r="C51" s="1">
        <v>2</v>
      </c>
      <c r="D51" s="18" t="s">
        <v>514</v>
      </c>
      <c r="E51" s="1">
        <v>5</v>
      </c>
      <c r="F51" s="18" t="s">
        <v>527</v>
      </c>
      <c r="G51" s="1">
        <v>16</v>
      </c>
      <c r="H51" s="1">
        <v>0</v>
      </c>
      <c r="I51" s="19" t="s">
        <v>528</v>
      </c>
    </row>
    <row r="52" spans="1:9" x14ac:dyDescent="0.15">
      <c r="A52" s="1">
        <v>64</v>
      </c>
      <c r="B52" s="1">
        <v>16</v>
      </c>
      <c r="C52" s="1">
        <v>2</v>
      </c>
      <c r="D52" s="18" t="s">
        <v>514</v>
      </c>
      <c r="E52" s="1">
        <v>17</v>
      </c>
      <c r="F52" s="18" t="s">
        <v>529</v>
      </c>
      <c r="G52" s="1">
        <v>1</v>
      </c>
      <c r="H52" s="1">
        <v>0</v>
      </c>
      <c r="I52" s="19" t="s">
        <v>519</v>
      </c>
    </row>
    <row r="53" spans="1:9" x14ac:dyDescent="0.15">
      <c r="A53" s="1">
        <v>65</v>
      </c>
      <c r="B53" s="1">
        <v>8</v>
      </c>
      <c r="C53" s="1">
        <v>2</v>
      </c>
      <c r="D53" s="23" t="s">
        <v>586</v>
      </c>
      <c r="E53" s="1">
        <v>5</v>
      </c>
      <c r="F53" s="18" t="s">
        <v>587</v>
      </c>
      <c r="G53" s="1">
        <v>5</v>
      </c>
      <c r="H53" s="1">
        <v>0</v>
      </c>
      <c r="I53" s="19" t="s">
        <v>533</v>
      </c>
    </row>
    <row r="54" spans="1:9" x14ac:dyDescent="0.15">
      <c r="A54" s="1">
        <v>66</v>
      </c>
      <c r="B54" s="1">
        <v>3</v>
      </c>
      <c r="C54" s="1">
        <v>2</v>
      </c>
      <c r="D54" s="18" t="s">
        <v>514</v>
      </c>
      <c r="E54" s="1">
        <v>5</v>
      </c>
      <c r="F54" s="18" t="s">
        <v>534</v>
      </c>
      <c r="G54" s="1">
        <v>7</v>
      </c>
      <c r="H54" s="1">
        <v>0</v>
      </c>
      <c r="I54" s="19" t="s">
        <v>535</v>
      </c>
    </row>
    <row r="55" spans="1:9" x14ac:dyDescent="0.15">
      <c r="A55" s="1">
        <v>67</v>
      </c>
      <c r="B55" s="1">
        <v>44</v>
      </c>
      <c r="C55" s="1">
        <v>2</v>
      </c>
      <c r="D55" s="18" t="s">
        <v>539</v>
      </c>
      <c r="E55" s="1">
        <v>5</v>
      </c>
      <c r="F55" s="18" t="s">
        <v>541</v>
      </c>
      <c r="G55" s="1">
        <v>5</v>
      </c>
      <c r="H55" s="1">
        <v>0</v>
      </c>
      <c r="I55" s="19" t="s">
        <v>540</v>
      </c>
    </row>
    <row r="56" spans="1:9" x14ac:dyDescent="0.15">
      <c r="A56" s="1">
        <v>68</v>
      </c>
      <c r="B56" s="1">
        <v>17</v>
      </c>
      <c r="C56" s="1">
        <v>0</v>
      </c>
      <c r="D56" s="23" t="s">
        <v>549</v>
      </c>
      <c r="E56" s="1">
        <v>9</v>
      </c>
      <c r="F56" s="18" t="s">
        <v>548</v>
      </c>
      <c r="G56" s="1">
        <v>12</v>
      </c>
      <c r="H56" s="1">
        <v>0</v>
      </c>
      <c r="I56" s="19" t="s">
        <v>720</v>
      </c>
    </row>
    <row r="57" spans="1:9" x14ac:dyDescent="0.15">
      <c r="A57" s="1">
        <v>69</v>
      </c>
      <c r="B57" s="1">
        <v>17</v>
      </c>
      <c r="C57" s="1">
        <v>2</v>
      </c>
      <c r="D57" s="23" t="s">
        <v>554</v>
      </c>
      <c r="E57" s="1">
        <v>19</v>
      </c>
      <c r="F57" s="18" t="s">
        <v>555</v>
      </c>
      <c r="G57" s="1">
        <v>12</v>
      </c>
      <c r="H57" s="1">
        <v>0</v>
      </c>
      <c r="I57" s="19" t="s">
        <v>556</v>
      </c>
    </row>
    <row r="58" spans="1:9" x14ac:dyDescent="0.15">
      <c r="A58" s="1">
        <v>70</v>
      </c>
      <c r="B58" s="1">
        <v>50</v>
      </c>
      <c r="C58" s="1">
        <v>0</v>
      </c>
      <c r="D58" s="11" t="s">
        <v>136</v>
      </c>
      <c r="E58" s="1">
        <v>16</v>
      </c>
      <c r="F58" s="18" t="s">
        <v>557</v>
      </c>
      <c r="G58" s="1">
        <v>12</v>
      </c>
      <c r="H58" s="1">
        <v>0</v>
      </c>
      <c r="I58" s="18" t="s">
        <v>558</v>
      </c>
    </row>
    <row r="59" spans="1:9" x14ac:dyDescent="0.15">
      <c r="A59" s="1">
        <v>71</v>
      </c>
      <c r="B59" s="1">
        <v>50</v>
      </c>
      <c r="C59" s="1">
        <v>0</v>
      </c>
      <c r="D59" s="11" t="s">
        <v>136</v>
      </c>
      <c r="E59" s="1">
        <v>1</v>
      </c>
      <c r="F59" s="18" t="s">
        <v>560</v>
      </c>
      <c r="G59" s="1">
        <v>12</v>
      </c>
      <c r="H59" s="1">
        <v>0</v>
      </c>
      <c r="I59" s="18" t="s">
        <v>559</v>
      </c>
    </row>
    <row r="60" spans="1:9" x14ac:dyDescent="0.15">
      <c r="A60" s="1">
        <v>72</v>
      </c>
      <c r="B60" s="1">
        <v>14</v>
      </c>
      <c r="C60" s="1">
        <v>2</v>
      </c>
      <c r="D60" s="11" t="s">
        <v>104</v>
      </c>
      <c r="E60" s="1">
        <v>9</v>
      </c>
      <c r="F60" s="18" t="s">
        <v>561</v>
      </c>
      <c r="G60" s="1">
        <v>12</v>
      </c>
      <c r="H60" s="1">
        <v>0</v>
      </c>
      <c r="I60" s="1" t="s">
        <v>562</v>
      </c>
    </row>
    <row r="61" spans="1:9" x14ac:dyDescent="0.15">
      <c r="A61" s="1">
        <v>73</v>
      </c>
      <c r="B61" s="1">
        <v>17</v>
      </c>
      <c r="C61" s="1">
        <v>0</v>
      </c>
      <c r="D61" s="23" t="s">
        <v>565</v>
      </c>
      <c r="E61" s="1">
        <v>9</v>
      </c>
      <c r="F61" s="18" t="s">
        <v>563</v>
      </c>
      <c r="G61" s="1">
        <v>12</v>
      </c>
      <c r="H61" s="1">
        <v>0</v>
      </c>
      <c r="I61" s="18" t="s">
        <v>564</v>
      </c>
    </row>
    <row r="62" spans="1:9" x14ac:dyDescent="0.15">
      <c r="A62" s="1">
        <v>74</v>
      </c>
      <c r="B62" s="1">
        <v>50</v>
      </c>
      <c r="C62" s="1">
        <v>0</v>
      </c>
      <c r="D62" s="18" t="s">
        <v>568</v>
      </c>
      <c r="E62" s="1">
        <v>9</v>
      </c>
      <c r="F62" s="18" t="s">
        <v>567</v>
      </c>
      <c r="G62" s="1">
        <v>12</v>
      </c>
      <c r="H62" s="1">
        <v>0</v>
      </c>
      <c r="I62" s="18" t="s">
        <v>566</v>
      </c>
    </row>
    <row r="63" spans="1:9" x14ac:dyDescent="0.15">
      <c r="A63" s="1">
        <v>75</v>
      </c>
      <c r="B63" s="1">
        <v>2</v>
      </c>
      <c r="C63" s="1">
        <v>2</v>
      </c>
      <c r="D63" s="23" t="s">
        <v>545</v>
      </c>
      <c r="E63" s="1">
        <v>5</v>
      </c>
      <c r="F63" s="18" t="s">
        <v>610</v>
      </c>
      <c r="G63" s="1">
        <v>5</v>
      </c>
      <c r="H63" s="1">
        <v>5</v>
      </c>
      <c r="I63" s="18" t="s">
        <v>611</v>
      </c>
    </row>
    <row r="64" spans="1:9" x14ac:dyDescent="0.15">
      <c r="A64" s="1">
        <v>76</v>
      </c>
      <c r="B64" s="1">
        <v>2</v>
      </c>
      <c r="C64" s="1">
        <v>2</v>
      </c>
      <c r="D64" s="23" t="s">
        <v>656</v>
      </c>
      <c r="E64" s="1">
        <v>5</v>
      </c>
      <c r="F64" s="18" t="s">
        <v>654</v>
      </c>
      <c r="G64" s="1">
        <v>1</v>
      </c>
      <c r="H64" s="1">
        <v>2</v>
      </c>
      <c r="I64" s="18" t="s">
        <v>655</v>
      </c>
    </row>
    <row r="65" spans="1:9" x14ac:dyDescent="0.15">
      <c r="A65" s="1">
        <v>77</v>
      </c>
      <c r="B65" s="1">
        <v>2</v>
      </c>
      <c r="C65" s="1">
        <v>2</v>
      </c>
      <c r="D65" s="23" t="s">
        <v>656</v>
      </c>
      <c r="E65" s="1">
        <v>5</v>
      </c>
      <c r="F65" s="18" t="s">
        <v>657</v>
      </c>
      <c r="G65" s="1">
        <v>1</v>
      </c>
      <c r="H65" s="1">
        <v>1</v>
      </c>
      <c r="I65" s="18" t="s">
        <v>655</v>
      </c>
    </row>
    <row r="66" spans="1:9" x14ac:dyDescent="0.15">
      <c r="A66" s="1">
        <v>78</v>
      </c>
      <c r="B66" s="1">
        <v>2</v>
      </c>
      <c r="C66" s="1">
        <v>2</v>
      </c>
      <c r="D66" s="23" t="s">
        <v>660</v>
      </c>
      <c r="E66" s="1">
        <v>5</v>
      </c>
      <c r="F66" s="18" t="s">
        <v>659</v>
      </c>
      <c r="G66" s="1">
        <v>1</v>
      </c>
      <c r="H66" s="1">
        <v>1</v>
      </c>
      <c r="I66" s="18" t="s">
        <v>661</v>
      </c>
    </row>
    <row r="67" spans="1:9" x14ac:dyDescent="0.15">
      <c r="A67" s="1">
        <v>79</v>
      </c>
      <c r="B67" s="1">
        <v>52</v>
      </c>
      <c r="C67" s="1">
        <v>2</v>
      </c>
      <c r="D67" s="23" t="s">
        <v>662</v>
      </c>
      <c r="E67" s="1">
        <v>5</v>
      </c>
      <c r="F67" s="18" t="s">
        <v>663</v>
      </c>
      <c r="G67" s="1">
        <v>13</v>
      </c>
      <c r="H67" s="1">
        <v>0</v>
      </c>
      <c r="I67" s="18" t="s">
        <v>664</v>
      </c>
    </row>
    <row r="68" spans="1:9" x14ac:dyDescent="0.15">
      <c r="A68" s="1">
        <v>80</v>
      </c>
      <c r="B68" s="1">
        <v>2</v>
      </c>
      <c r="C68" s="1">
        <v>2</v>
      </c>
      <c r="D68" s="23" t="s">
        <v>594</v>
      </c>
      <c r="E68" s="1">
        <v>5</v>
      </c>
      <c r="F68" s="18" t="s">
        <v>668</v>
      </c>
      <c r="G68" s="1">
        <v>2</v>
      </c>
      <c r="H68" s="1">
        <v>0</v>
      </c>
      <c r="I68" s="18" t="s">
        <v>669</v>
      </c>
    </row>
    <row r="69" spans="1:9" x14ac:dyDescent="0.15">
      <c r="A69" s="1">
        <v>81</v>
      </c>
      <c r="B69" s="1">
        <v>2</v>
      </c>
      <c r="C69" s="1">
        <v>2</v>
      </c>
      <c r="D69" s="23" t="s">
        <v>658</v>
      </c>
      <c r="E69" s="1">
        <v>5</v>
      </c>
      <c r="F69" s="18" t="s">
        <v>670</v>
      </c>
      <c r="G69" s="1">
        <v>5</v>
      </c>
      <c r="H69" s="1">
        <v>5</v>
      </c>
      <c r="I69" s="18" t="s">
        <v>671</v>
      </c>
    </row>
    <row r="70" spans="1:9" x14ac:dyDescent="0.15">
      <c r="A70" s="1">
        <v>82</v>
      </c>
      <c r="B70" s="1">
        <v>3</v>
      </c>
      <c r="C70" s="1">
        <v>2</v>
      </c>
      <c r="D70" s="23" t="s">
        <v>658</v>
      </c>
      <c r="E70" s="1">
        <v>5</v>
      </c>
      <c r="F70" s="18" t="s">
        <v>672</v>
      </c>
      <c r="G70" s="1">
        <v>5</v>
      </c>
      <c r="H70" s="1">
        <v>0</v>
      </c>
      <c r="I70" s="18" t="s">
        <v>673</v>
      </c>
    </row>
    <row r="71" spans="1:9" x14ac:dyDescent="0.15">
      <c r="A71" s="1">
        <v>83</v>
      </c>
      <c r="B71" s="1">
        <v>35</v>
      </c>
      <c r="C71" s="1">
        <v>2</v>
      </c>
      <c r="D71" s="23" t="s">
        <v>674</v>
      </c>
      <c r="E71" s="1">
        <v>5</v>
      </c>
      <c r="F71" s="18" t="s">
        <v>675</v>
      </c>
      <c r="G71" s="1">
        <v>5</v>
      </c>
      <c r="H71" s="1">
        <v>0</v>
      </c>
      <c r="I71" s="18" t="s">
        <v>677</v>
      </c>
    </row>
    <row r="72" spans="1:9" x14ac:dyDescent="0.15">
      <c r="A72" s="1">
        <v>84</v>
      </c>
      <c r="B72" s="1">
        <v>17</v>
      </c>
      <c r="C72" s="1">
        <v>2</v>
      </c>
      <c r="D72" s="23" t="s">
        <v>546</v>
      </c>
      <c r="E72" s="1">
        <v>5</v>
      </c>
      <c r="F72" s="18" t="s">
        <v>679</v>
      </c>
      <c r="G72" s="1">
        <v>14</v>
      </c>
      <c r="H72" s="1">
        <v>0</v>
      </c>
      <c r="I72" s="18" t="s">
        <v>721</v>
      </c>
    </row>
    <row r="73" spans="1:9" x14ac:dyDescent="0.15">
      <c r="A73" s="1">
        <v>85</v>
      </c>
      <c r="B73" s="1">
        <v>17</v>
      </c>
      <c r="C73" s="1">
        <v>2</v>
      </c>
      <c r="D73" s="23" t="s">
        <v>593</v>
      </c>
      <c r="E73" s="1">
        <v>5</v>
      </c>
      <c r="F73" s="18" t="s">
        <v>681</v>
      </c>
      <c r="G73" s="1">
        <v>16</v>
      </c>
      <c r="H73" s="1">
        <v>0</v>
      </c>
      <c r="I73" s="18" t="s">
        <v>680</v>
      </c>
    </row>
    <row r="74" spans="1:9" x14ac:dyDescent="0.15">
      <c r="A74" s="1">
        <v>86</v>
      </c>
      <c r="B74" s="1">
        <v>55</v>
      </c>
      <c r="C74" s="1">
        <v>2</v>
      </c>
      <c r="D74" s="23" t="s">
        <v>684</v>
      </c>
      <c r="E74" s="1">
        <v>5</v>
      </c>
      <c r="F74" s="18" t="s">
        <v>683</v>
      </c>
      <c r="G74" s="1">
        <v>12</v>
      </c>
      <c r="H74" s="1">
        <v>0</v>
      </c>
      <c r="I74" s="18" t="s">
        <v>682</v>
      </c>
    </row>
    <row r="75" spans="1:9" x14ac:dyDescent="0.15">
      <c r="A75" s="1">
        <v>101</v>
      </c>
      <c r="B75" s="1">
        <v>24</v>
      </c>
      <c r="C75" s="1">
        <v>2</v>
      </c>
      <c r="D75" s="11" t="s">
        <v>165</v>
      </c>
      <c r="E75" s="1">
        <v>5</v>
      </c>
      <c r="F75" s="1" t="s">
        <v>166</v>
      </c>
      <c r="G75" s="1">
        <v>1</v>
      </c>
      <c r="H75" s="1">
        <v>0</v>
      </c>
      <c r="I75" s="1" t="s">
        <v>166</v>
      </c>
    </row>
    <row r="76" spans="1:9" x14ac:dyDescent="0.15">
      <c r="A76" s="1">
        <v>102</v>
      </c>
      <c r="B76" s="1">
        <v>24</v>
      </c>
      <c r="C76" s="1">
        <v>2</v>
      </c>
      <c r="D76" s="11" t="s">
        <v>167</v>
      </c>
      <c r="E76" s="1">
        <v>5</v>
      </c>
      <c r="F76" s="1" t="s">
        <v>168</v>
      </c>
      <c r="G76" s="1">
        <v>1</v>
      </c>
      <c r="H76" s="1">
        <v>0</v>
      </c>
      <c r="I76" s="1" t="s">
        <v>168</v>
      </c>
    </row>
    <row r="77" spans="1:9" x14ac:dyDescent="0.15">
      <c r="A77" s="1">
        <v>103</v>
      </c>
      <c r="B77" s="1">
        <v>24</v>
      </c>
      <c r="C77" s="1">
        <v>2</v>
      </c>
      <c r="D77" s="11" t="s">
        <v>169</v>
      </c>
      <c r="E77" s="1">
        <v>5</v>
      </c>
      <c r="F77" s="1" t="s">
        <v>170</v>
      </c>
      <c r="G77" s="1">
        <v>1</v>
      </c>
      <c r="H77" s="1">
        <v>0</v>
      </c>
      <c r="I77" s="1" t="s">
        <v>170</v>
      </c>
    </row>
    <row r="78" spans="1:9" x14ac:dyDescent="0.15">
      <c r="A78" s="1">
        <v>104</v>
      </c>
      <c r="B78" s="1">
        <v>24</v>
      </c>
      <c r="C78" s="1">
        <v>2</v>
      </c>
      <c r="D78" s="11" t="s">
        <v>171</v>
      </c>
      <c r="E78" s="1">
        <v>5</v>
      </c>
      <c r="F78" s="1" t="s">
        <v>172</v>
      </c>
      <c r="G78" s="1">
        <v>1</v>
      </c>
      <c r="H78" s="1">
        <v>0</v>
      </c>
      <c r="I78" s="1" t="s">
        <v>172</v>
      </c>
    </row>
    <row r="79" spans="1:9" x14ac:dyDescent="0.15">
      <c r="A79" s="1">
        <v>105</v>
      </c>
      <c r="B79" s="1">
        <v>24</v>
      </c>
      <c r="C79" s="1">
        <v>2</v>
      </c>
      <c r="D79" s="11" t="s">
        <v>173</v>
      </c>
      <c r="E79" s="1">
        <v>5</v>
      </c>
      <c r="F79" s="1" t="s">
        <v>174</v>
      </c>
      <c r="G79" s="1">
        <v>1</v>
      </c>
      <c r="H79" s="1">
        <v>0</v>
      </c>
      <c r="I79" s="1" t="s">
        <v>174</v>
      </c>
    </row>
    <row r="80" spans="1:9" x14ac:dyDescent="0.15">
      <c r="A80" s="1">
        <v>106</v>
      </c>
      <c r="B80" s="1">
        <v>24</v>
      </c>
      <c r="C80" s="1">
        <v>2</v>
      </c>
      <c r="D80" s="11" t="s">
        <v>175</v>
      </c>
      <c r="E80" s="1">
        <v>5</v>
      </c>
      <c r="F80" s="1" t="s">
        <v>176</v>
      </c>
      <c r="G80" s="1">
        <v>1</v>
      </c>
      <c r="H80" s="1">
        <v>0</v>
      </c>
      <c r="I80" s="1" t="s">
        <v>176</v>
      </c>
    </row>
    <row r="81" spans="1:11" x14ac:dyDescent="0.15">
      <c r="A81" s="1">
        <v>107</v>
      </c>
      <c r="B81" s="1">
        <v>24</v>
      </c>
      <c r="C81" s="1">
        <v>2</v>
      </c>
      <c r="D81" s="11" t="s">
        <v>177</v>
      </c>
      <c r="E81" s="1">
        <v>5</v>
      </c>
      <c r="F81" s="1" t="s">
        <v>178</v>
      </c>
      <c r="G81" s="1">
        <v>1</v>
      </c>
      <c r="H81" s="1">
        <v>0</v>
      </c>
      <c r="I81" s="1" t="s">
        <v>178</v>
      </c>
    </row>
    <row r="82" spans="1:11" x14ac:dyDescent="0.15">
      <c r="A82" s="1">
        <v>108</v>
      </c>
      <c r="B82" s="1">
        <v>24</v>
      </c>
      <c r="C82" s="1">
        <v>2</v>
      </c>
      <c r="D82" s="11" t="s">
        <v>179</v>
      </c>
      <c r="E82" s="1">
        <v>5</v>
      </c>
      <c r="F82" s="1" t="s">
        <v>180</v>
      </c>
      <c r="G82" s="1">
        <v>1</v>
      </c>
      <c r="H82" s="1">
        <v>0</v>
      </c>
      <c r="I82" s="1" t="s">
        <v>180</v>
      </c>
    </row>
    <row r="83" spans="1:11" x14ac:dyDescent="0.15">
      <c r="A83" s="1">
        <v>109</v>
      </c>
      <c r="B83" s="1">
        <v>24</v>
      </c>
      <c r="C83" s="1">
        <v>2</v>
      </c>
      <c r="D83" s="11" t="s">
        <v>181</v>
      </c>
      <c r="E83" s="1">
        <v>5</v>
      </c>
      <c r="F83" s="1" t="s">
        <v>182</v>
      </c>
      <c r="G83" s="1">
        <v>1</v>
      </c>
      <c r="H83" s="1">
        <v>0</v>
      </c>
      <c r="I83" s="1" t="s">
        <v>182</v>
      </c>
    </row>
    <row r="84" spans="1:11" x14ac:dyDescent="0.15">
      <c r="A84" s="1">
        <v>110</v>
      </c>
      <c r="B84" s="1">
        <v>24</v>
      </c>
      <c r="C84" s="1">
        <v>2</v>
      </c>
      <c r="D84" s="11" t="s">
        <v>183</v>
      </c>
      <c r="E84" s="1">
        <v>5</v>
      </c>
      <c r="F84" s="1" t="s">
        <v>184</v>
      </c>
      <c r="G84" s="1">
        <v>1</v>
      </c>
      <c r="H84" s="1">
        <v>0</v>
      </c>
      <c r="I84" s="1" t="s">
        <v>184</v>
      </c>
    </row>
    <row r="85" spans="1:11" x14ac:dyDescent="0.15">
      <c r="A85" s="1">
        <v>204</v>
      </c>
      <c r="B85" s="1">
        <v>24</v>
      </c>
      <c r="C85" s="1">
        <v>2</v>
      </c>
      <c r="D85" s="18" t="s">
        <v>666</v>
      </c>
      <c r="E85" s="1">
        <v>3</v>
      </c>
      <c r="F85" s="18" t="s">
        <v>665</v>
      </c>
      <c r="G85" s="1">
        <v>1</v>
      </c>
      <c r="H85" s="1">
        <v>0</v>
      </c>
      <c r="I85" s="18" t="s">
        <v>665</v>
      </c>
    </row>
    <row r="91" spans="1:11" x14ac:dyDescent="0.15">
      <c r="A91" s="1" t="s">
        <v>185</v>
      </c>
    </row>
    <row r="92" spans="1:11" ht="13.5" x14ac:dyDescent="0.15">
      <c r="A92" s="27" t="s">
        <v>186</v>
      </c>
      <c r="B92" s="27"/>
      <c r="C92" s="28"/>
      <c r="D92" s="28"/>
      <c r="E92" s="28"/>
      <c r="F92" s="28"/>
      <c r="G92" s="28"/>
      <c r="H92" s="28"/>
      <c r="I92" s="28"/>
      <c r="J92" s="28"/>
      <c r="K92" s="28"/>
    </row>
    <row r="93" spans="1:11" ht="13.5" x14ac:dyDescent="0.15">
      <c r="A93" s="27" t="s">
        <v>187</v>
      </c>
      <c r="B93" s="27"/>
      <c r="C93" s="28"/>
      <c r="D93" s="28"/>
      <c r="E93" s="28"/>
      <c r="F93" s="28"/>
      <c r="G93" s="28"/>
      <c r="H93" s="28"/>
      <c r="I93" s="28"/>
      <c r="J93" s="28"/>
      <c r="K93" s="28"/>
    </row>
    <row r="94" spans="1:11" ht="13.5" x14ac:dyDescent="0.15">
      <c r="A94" s="29" t="s">
        <v>188</v>
      </c>
      <c r="B94" s="27"/>
      <c r="C94" s="28"/>
      <c r="D94" s="28"/>
      <c r="E94" s="28"/>
      <c r="F94" s="28"/>
      <c r="G94" s="28"/>
      <c r="H94" s="28"/>
      <c r="I94" s="28"/>
      <c r="J94" s="28"/>
      <c r="K94" s="28"/>
    </row>
    <row r="95" spans="1:11" ht="13.5" x14ac:dyDescent="0.15">
      <c r="A95" s="27"/>
      <c r="B95" s="27"/>
      <c r="C95" s="28"/>
      <c r="D95" s="28"/>
      <c r="E95" s="28"/>
      <c r="F95" s="28"/>
      <c r="G95" s="28"/>
      <c r="H95" s="28"/>
      <c r="I95" s="28"/>
      <c r="J95" s="28"/>
      <c r="K95" s="28"/>
    </row>
    <row r="96" spans="1:11" ht="13.5" x14ac:dyDescent="0.15">
      <c r="A96" s="27"/>
      <c r="B96" s="27"/>
      <c r="C96" s="28"/>
      <c r="D96" s="28"/>
      <c r="E96" s="28"/>
      <c r="F96" s="28"/>
      <c r="G96" s="28"/>
      <c r="H96" s="28"/>
      <c r="I96" s="28"/>
      <c r="J96" s="28"/>
      <c r="K96" s="28"/>
    </row>
    <row r="97" spans="1:11" ht="13.5" x14ac:dyDescent="0.15">
      <c r="A97" s="27"/>
      <c r="B97" s="27"/>
      <c r="C97" s="28"/>
      <c r="D97" s="28"/>
      <c r="E97" s="28"/>
      <c r="F97" s="28"/>
      <c r="G97" s="28"/>
      <c r="H97" s="28"/>
      <c r="I97" s="28"/>
      <c r="J97" s="28"/>
      <c r="K97" s="28"/>
    </row>
    <row r="98" spans="1:11" x14ac:dyDescent="0.15">
      <c r="A98" s="1" t="s">
        <v>92</v>
      </c>
      <c r="E98" s="1" t="s">
        <v>71</v>
      </c>
      <c r="F98" s="1" t="s">
        <v>37</v>
      </c>
      <c r="G98" s="1" t="s">
        <v>41</v>
      </c>
    </row>
    <row r="99" spans="1:11" x14ac:dyDescent="0.15">
      <c r="A99" s="1" t="s">
        <v>189</v>
      </c>
      <c r="B99" s="1" t="s">
        <v>190</v>
      </c>
      <c r="C99" s="1" t="s">
        <v>191</v>
      </c>
      <c r="E99" s="1" t="s">
        <v>192</v>
      </c>
      <c r="F99" s="1" t="s">
        <v>43</v>
      </c>
      <c r="G99" s="1" t="s">
        <v>28</v>
      </c>
    </row>
    <row r="100" spans="1:11" x14ac:dyDescent="0.15">
      <c r="A100" s="1">
        <v>-1</v>
      </c>
      <c r="B100" s="1" t="s">
        <v>193</v>
      </c>
      <c r="E100" s="1">
        <v>1</v>
      </c>
      <c r="F100" s="1" t="s">
        <v>194</v>
      </c>
      <c r="G100" s="1" t="s">
        <v>195</v>
      </c>
    </row>
    <row r="101" spans="1:11" x14ac:dyDescent="0.15">
      <c r="A101" s="1">
        <v>0</v>
      </c>
      <c r="B101" s="18" t="s">
        <v>516</v>
      </c>
      <c r="C101" s="18" t="s">
        <v>517</v>
      </c>
      <c r="E101" s="1">
        <v>2</v>
      </c>
      <c r="F101" s="1" t="s">
        <v>196</v>
      </c>
      <c r="G101" s="1" t="s">
        <v>197</v>
      </c>
    </row>
    <row r="102" spans="1:11" x14ac:dyDescent="0.15">
      <c r="A102" s="1">
        <v>1</v>
      </c>
      <c r="B102" s="1" t="s">
        <v>198</v>
      </c>
      <c r="C102" s="1" t="s">
        <v>199</v>
      </c>
      <c r="E102" s="1">
        <v>3</v>
      </c>
      <c r="F102" s="1" t="s">
        <v>200</v>
      </c>
      <c r="G102" s="1" t="s">
        <v>201</v>
      </c>
    </row>
    <row r="103" spans="1:11" x14ac:dyDescent="0.15">
      <c r="A103" s="1">
        <v>2</v>
      </c>
      <c r="B103" s="1" t="s">
        <v>202</v>
      </c>
      <c r="C103" s="1" t="s">
        <v>203</v>
      </c>
      <c r="E103" s="1">
        <v>4</v>
      </c>
      <c r="F103" s="1" t="s">
        <v>204</v>
      </c>
      <c r="G103" s="1" t="s">
        <v>205</v>
      </c>
    </row>
    <row r="104" spans="1:11" x14ac:dyDescent="0.15">
      <c r="A104" s="1">
        <v>3</v>
      </c>
      <c r="B104" s="1" t="s">
        <v>206</v>
      </c>
      <c r="C104" s="1" t="s">
        <v>207</v>
      </c>
      <c r="E104" s="1">
        <v>5</v>
      </c>
      <c r="F104" s="1" t="s">
        <v>208</v>
      </c>
      <c r="G104" s="1" t="s">
        <v>209</v>
      </c>
    </row>
    <row r="105" spans="1:11" x14ac:dyDescent="0.15">
      <c r="A105" s="1">
        <v>4</v>
      </c>
      <c r="B105" s="1" t="s">
        <v>210</v>
      </c>
      <c r="C105" s="1" t="s">
        <v>211</v>
      </c>
      <c r="E105" s="1">
        <v>6</v>
      </c>
      <c r="F105" s="1" t="s">
        <v>212</v>
      </c>
      <c r="G105" s="1" t="s">
        <v>213</v>
      </c>
    </row>
    <row r="106" spans="1:11" x14ac:dyDescent="0.15">
      <c r="A106" s="1">
        <v>5</v>
      </c>
      <c r="B106" s="1" t="s">
        <v>214</v>
      </c>
      <c r="C106" s="1" t="s">
        <v>215</v>
      </c>
      <c r="E106" s="1">
        <v>7</v>
      </c>
      <c r="F106" s="1" t="s">
        <v>216</v>
      </c>
      <c r="G106" s="1" t="s">
        <v>217</v>
      </c>
    </row>
    <row r="107" spans="1:11" x14ac:dyDescent="0.15">
      <c r="A107" s="1">
        <v>6</v>
      </c>
      <c r="B107" s="1" t="s">
        <v>218</v>
      </c>
      <c r="C107" s="1" t="s">
        <v>219</v>
      </c>
      <c r="E107" s="1">
        <v>8</v>
      </c>
      <c r="F107" s="1" t="s">
        <v>105</v>
      </c>
      <c r="G107" s="1" t="s">
        <v>220</v>
      </c>
    </row>
    <row r="108" spans="1:11" x14ac:dyDescent="0.15">
      <c r="A108" s="1">
        <v>7</v>
      </c>
      <c r="B108" s="1" t="s">
        <v>202</v>
      </c>
      <c r="C108" s="1" t="s">
        <v>221</v>
      </c>
      <c r="E108" s="1">
        <v>9</v>
      </c>
      <c r="F108" s="1" t="s">
        <v>222</v>
      </c>
      <c r="G108" s="1" t="s">
        <v>223</v>
      </c>
    </row>
    <row r="109" spans="1:11" x14ac:dyDescent="0.15">
      <c r="A109" s="1">
        <v>8</v>
      </c>
      <c r="B109" s="1" t="s">
        <v>224</v>
      </c>
      <c r="C109" s="1" t="s">
        <v>225</v>
      </c>
      <c r="E109" s="1">
        <v>12</v>
      </c>
      <c r="F109" s="1" t="s">
        <v>226</v>
      </c>
      <c r="G109" s="1" t="s">
        <v>227</v>
      </c>
    </row>
    <row r="110" spans="1:11" x14ac:dyDescent="0.15">
      <c r="A110" s="1">
        <v>9</v>
      </c>
      <c r="B110" s="1" t="s">
        <v>228</v>
      </c>
      <c r="C110" s="1" t="s">
        <v>229</v>
      </c>
      <c r="E110" s="1">
        <v>13</v>
      </c>
      <c r="F110" s="1" t="s">
        <v>230</v>
      </c>
      <c r="G110" s="1" t="s">
        <v>231</v>
      </c>
    </row>
    <row r="111" spans="1:11" x14ac:dyDescent="0.15">
      <c r="A111" s="1">
        <v>12</v>
      </c>
      <c r="B111" s="1" t="s">
        <v>235</v>
      </c>
      <c r="C111" s="1" t="s">
        <v>236</v>
      </c>
      <c r="E111" s="1">
        <v>14</v>
      </c>
      <c r="F111" s="1" t="s">
        <v>232</v>
      </c>
      <c r="G111" s="1" t="s">
        <v>233</v>
      </c>
    </row>
    <row r="112" spans="1:11" x14ac:dyDescent="0.15">
      <c r="A112" s="1">
        <v>13</v>
      </c>
      <c r="B112" s="1" t="s">
        <v>239</v>
      </c>
      <c r="C112" s="1" t="s">
        <v>240</v>
      </c>
      <c r="E112" s="1">
        <v>15</v>
      </c>
      <c r="F112" s="18" t="s">
        <v>531</v>
      </c>
      <c r="G112" s="1" t="s">
        <v>234</v>
      </c>
    </row>
    <row r="113" spans="1:7" x14ac:dyDescent="0.15">
      <c r="A113" s="1">
        <v>15</v>
      </c>
      <c r="B113" s="1" t="s">
        <v>241</v>
      </c>
      <c r="C113" s="1" t="s">
        <v>242</v>
      </c>
      <c r="E113" s="1">
        <v>16</v>
      </c>
      <c r="F113" s="1" t="s">
        <v>237</v>
      </c>
      <c r="G113" s="1" t="s">
        <v>238</v>
      </c>
    </row>
    <row r="114" spans="1:7" x14ac:dyDescent="0.15">
      <c r="A114" s="1">
        <v>16</v>
      </c>
      <c r="B114" s="1" t="s">
        <v>107</v>
      </c>
      <c r="C114" s="1" t="s">
        <v>243</v>
      </c>
      <c r="E114" s="1">
        <v>17</v>
      </c>
      <c r="F114" s="18" t="s">
        <v>530</v>
      </c>
      <c r="G114" s="18" t="s">
        <v>542</v>
      </c>
    </row>
    <row r="115" spans="1:7" x14ac:dyDescent="0.15">
      <c r="A115" s="1">
        <v>17</v>
      </c>
      <c r="B115" s="18" t="s">
        <v>515</v>
      </c>
      <c r="C115" s="18" t="s">
        <v>518</v>
      </c>
    </row>
    <row r="116" spans="1:7" x14ac:dyDescent="0.15">
      <c r="A116" s="1">
        <v>18</v>
      </c>
      <c r="B116" s="18" t="s">
        <v>553</v>
      </c>
      <c r="C116" s="18" t="s">
        <v>550</v>
      </c>
    </row>
    <row r="117" spans="1:7" x14ac:dyDescent="0.15">
      <c r="A117" s="1">
        <v>19</v>
      </c>
      <c r="B117" s="18" t="s">
        <v>552</v>
      </c>
      <c r="C117" s="18" t="s">
        <v>551</v>
      </c>
    </row>
  </sheetData>
  <mergeCells count="6">
    <mergeCell ref="A97:K97"/>
    <mergeCell ref="A92:K92"/>
    <mergeCell ref="A93:K93"/>
    <mergeCell ref="A94:K94"/>
    <mergeCell ref="A95:K95"/>
    <mergeCell ref="A96:K96"/>
  </mergeCells>
  <phoneticPr fontId="9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137"/>
  <sheetViews>
    <sheetView workbookViewId="0">
      <selection activeCell="A7" sqref="A7"/>
    </sheetView>
  </sheetViews>
  <sheetFormatPr defaultColWidth="9" defaultRowHeight="11.25" x14ac:dyDescent="0.15"/>
  <cols>
    <col min="1" max="1" width="6.75" style="1" customWidth="1"/>
    <col min="2" max="2" width="9.5" style="1" customWidth="1"/>
    <col min="3" max="3" width="11" style="1" customWidth="1"/>
    <col min="4" max="4" width="11.625" style="1" customWidth="1"/>
    <col min="5" max="5" width="10.625" style="1" customWidth="1"/>
    <col min="6" max="6" width="7.875" style="1" customWidth="1"/>
    <col min="7" max="7" width="6.875" style="1" customWidth="1"/>
    <col min="8" max="8" width="5.875" style="1" customWidth="1"/>
    <col min="9" max="9" width="6" style="1" customWidth="1"/>
    <col min="10" max="10" width="10.5" style="3" customWidth="1"/>
    <col min="11" max="12" width="6.125" style="1" customWidth="1"/>
    <col min="13" max="13" width="7.875" style="1" customWidth="1"/>
    <col min="14" max="14" width="10.5" style="1" customWidth="1"/>
    <col min="15" max="15" width="13.25" style="1" customWidth="1"/>
    <col min="16" max="16" width="6.375" style="1" customWidth="1"/>
    <col min="17" max="18" width="8.625" style="1" customWidth="1"/>
    <col min="19" max="19" width="9" style="1"/>
    <col min="20" max="20" width="24.25" style="1" customWidth="1"/>
    <col min="21" max="21" width="12.75" style="1" customWidth="1"/>
    <col min="22" max="22" width="9.75" style="1" customWidth="1"/>
    <col min="23" max="23" width="10.375" style="1" customWidth="1"/>
    <col min="24" max="16384" width="9" style="1"/>
  </cols>
  <sheetData>
    <row r="1" spans="1:24" x14ac:dyDescent="0.15">
      <c r="A1" s="1" t="s">
        <v>21</v>
      </c>
      <c r="B1" s="1" t="s">
        <v>37</v>
      </c>
      <c r="C1" s="1" t="s">
        <v>244</v>
      </c>
      <c r="D1" s="1" t="s">
        <v>245</v>
      </c>
      <c r="E1" s="18" t="s">
        <v>788</v>
      </c>
      <c r="F1" s="1" t="s">
        <v>69</v>
      </c>
      <c r="G1" s="1" t="s">
        <v>70</v>
      </c>
      <c r="H1" s="1" t="s">
        <v>246</v>
      </c>
      <c r="I1" s="1" t="s">
        <v>247</v>
      </c>
      <c r="J1" s="3" t="s">
        <v>248</v>
      </c>
      <c r="K1" s="1" t="s">
        <v>783</v>
      </c>
      <c r="L1" s="1" t="s">
        <v>784</v>
      </c>
      <c r="M1" s="1" t="s">
        <v>785</v>
      </c>
      <c r="N1" s="1" t="s">
        <v>786</v>
      </c>
      <c r="O1" s="1" t="s">
        <v>787</v>
      </c>
      <c r="P1" s="1" t="s">
        <v>249</v>
      </c>
      <c r="Q1" s="1" t="s">
        <v>250</v>
      </c>
      <c r="R1" s="1" t="s">
        <v>93</v>
      </c>
      <c r="T1" s="5" t="s">
        <v>26</v>
      </c>
      <c r="U1" s="1" t="s">
        <v>251</v>
      </c>
      <c r="V1" s="1" t="s">
        <v>252</v>
      </c>
      <c r="W1" s="1" t="s">
        <v>253</v>
      </c>
      <c r="X1" s="1" t="s">
        <v>254</v>
      </c>
    </row>
    <row r="2" spans="1:24" x14ac:dyDescent="0.15">
      <c r="A2" s="1" t="s">
        <v>23</v>
      </c>
      <c r="B2" s="1" t="s">
        <v>43</v>
      </c>
      <c r="C2" s="1" t="s">
        <v>256</v>
      </c>
      <c r="D2" s="1" t="s">
        <v>257</v>
      </c>
      <c r="E2" s="18" t="s">
        <v>789</v>
      </c>
      <c r="F2" s="1" t="s">
        <v>74</v>
      </c>
      <c r="G2" s="1" t="s">
        <v>75</v>
      </c>
      <c r="H2" s="1" t="s">
        <v>259</v>
      </c>
      <c r="I2" s="1" t="s">
        <v>260</v>
      </c>
      <c r="J2" s="3" t="s">
        <v>261</v>
      </c>
      <c r="K2" s="23" t="s">
        <v>726</v>
      </c>
      <c r="L2" s="23" t="s">
        <v>727</v>
      </c>
      <c r="M2" s="23" t="s">
        <v>728</v>
      </c>
      <c r="N2" s="23" t="s">
        <v>729</v>
      </c>
      <c r="O2" s="23" t="s">
        <v>730</v>
      </c>
      <c r="P2" s="1" t="s">
        <v>262</v>
      </c>
      <c r="Q2" s="1" t="s">
        <v>263</v>
      </c>
      <c r="R2" s="1" t="s">
        <v>100</v>
      </c>
      <c r="T2" s="1" t="s">
        <v>28</v>
      </c>
      <c r="U2" s="1" t="s">
        <v>264</v>
      </c>
      <c r="V2" s="1" t="s">
        <v>259</v>
      </c>
      <c r="W2" s="1" t="s">
        <v>265</v>
      </c>
      <c r="X2" s="1" t="s">
        <v>258</v>
      </c>
    </row>
    <row r="3" spans="1:24" x14ac:dyDescent="0.15">
      <c r="A3" s="1">
        <v>1</v>
      </c>
      <c r="B3" s="1" t="s">
        <v>267</v>
      </c>
      <c r="C3" s="1" t="str">
        <f>"8,0,"&amp;$W$3*10&amp;","&amp;$X$3*10</f>
        <v>8,0,20,20</v>
      </c>
      <c r="D3" s="1" t="str">
        <f t="shared" ref="D3:D27" si="0">"1000,"&amp;$A3&amp;","&amp;$W$3*5&amp;","&amp;$X$3*5</f>
        <v>1000,1,10,10</v>
      </c>
      <c r="E3" s="1" t="str">
        <f>"7,0,"&amp;$W$3&amp;","&amp;$X$3</f>
        <v>7,0,2,2</v>
      </c>
      <c r="F3" s="1">
        <f>ROUNDUP(300*POWER(H3,0.5),0)</f>
        <v>520</v>
      </c>
      <c r="G3" s="1">
        <f>F3*$U$3</f>
        <v>2600</v>
      </c>
      <c r="H3" s="1">
        <v>3</v>
      </c>
      <c r="I3" s="10">
        <f>1-SUM(I4:I27)</f>
        <v>4.8000000000000154E-2</v>
      </c>
      <c r="J3" s="3">
        <v>101</v>
      </c>
      <c r="K3" s="18" t="s">
        <v>770</v>
      </c>
      <c r="L3" s="18" t="s">
        <v>731</v>
      </c>
      <c r="M3" s="18" t="s">
        <v>741</v>
      </c>
      <c r="N3" s="18" t="s">
        <v>751</v>
      </c>
      <c r="O3" s="18" t="s">
        <v>761</v>
      </c>
      <c r="P3" s="1">
        <v>5</v>
      </c>
      <c r="Q3" s="1">
        <v>1</v>
      </c>
      <c r="R3" s="1">
        <v>1</v>
      </c>
      <c r="U3" s="1">
        <v>5</v>
      </c>
      <c r="V3" s="1">
        <v>1</v>
      </c>
      <c r="W3" s="1">
        <v>2</v>
      </c>
      <c r="X3" s="1">
        <v>2</v>
      </c>
    </row>
    <row r="4" spans="1:24" x14ac:dyDescent="0.15">
      <c r="A4" s="1">
        <v>2</v>
      </c>
      <c r="B4" s="1" t="s">
        <v>268</v>
      </c>
      <c r="C4" s="1" t="str">
        <f t="shared" ref="C4:C27" si="1">"8,0,"&amp;$W$3*10&amp;","&amp;$X$3*10</f>
        <v>8,0,20,20</v>
      </c>
      <c r="D4" s="1" t="str">
        <f t="shared" si="0"/>
        <v>1000,2,10,10</v>
      </c>
      <c r="E4" s="1" t="str">
        <f t="shared" ref="E4:E27" si="2">"7,0,"&amp;$W$3&amp;","&amp;$X$3</f>
        <v>7,0,2,2</v>
      </c>
      <c r="F4" s="1">
        <f>ROUNDUP(100*POWER(H4,0.5),0)</f>
        <v>100</v>
      </c>
      <c r="G4" s="1">
        <f t="shared" ref="G4:G27" si="3">F4*$U$3</f>
        <v>500</v>
      </c>
      <c r="H4" s="1">
        <v>1</v>
      </c>
      <c r="I4" s="10">
        <f>0.085/H4</f>
        <v>8.5000000000000006E-2</v>
      </c>
      <c r="J4" s="3">
        <v>102</v>
      </c>
      <c r="K4" s="18" t="s">
        <v>771</v>
      </c>
      <c r="L4" s="18" t="s">
        <v>732</v>
      </c>
      <c r="M4" s="18" t="s">
        <v>742</v>
      </c>
      <c r="N4" s="18" t="s">
        <v>752</v>
      </c>
      <c r="O4" s="18" t="s">
        <v>762</v>
      </c>
      <c r="P4" s="1">
        <v>2</v>
      </c>
      <c r="Q4" s="1">
        <v>3</v>
      </c>
      <c r="R4" s="1">
        <v>2</v>
      </c>
      <c r="V4" s="1">
        <v>2</v>
      </c>
    </row>
    <row r="5" spans="1:24" x14ac:dyDescent="0.15">
      <c r="A5" s="1">
        <v>3</v>
      </c>
      <c r="B5" s="1" t="s">
        <v>269</v>
      </c>
      <c r="C5" s="1" t="str">
        <f t="shared" si="1"/>
        <v>8,0,20,20</v>
      </c>
      <c r="D5" s="1" t="str">
        <f t="shared" si="0"/>
        <v>1000,3,10,10</v>
      </c>
      <c r="E5" s="1" t="str">
        <f t="shared" si="2"/>
        <v>7,0,2,2</v>
      </c>
      <c r="F5" s="1">
        <f t="shared" ref="F5:F27" si="4">ROUNDUP(100*POWER(H5,0.5),0)</f>
        <v>100</v>
      </c>
      <c r="G5" s="1">
        <f t="shared" si="3"/>
        <v>500</v>
      </c>
      <c r="H5" s="1">
        <v>1</v>
      </c>
      <c r="I5" s="10">
        <f t="shared" ref="I5:I27" si="5">0.085/H5</f>
        <v>8.5000000000000006E-2</v>
      </c>
      <c r="J5" s="3">
        <v>103</v>
      </c>
      <c r="K5" s="18" t="s">
        <v>772</v>
      </c>
      <c r="L5" s="18" t="s">
        <v>733</v>
      </c>
      <c r="M5" s="18" t="s">
        <v>743</v>
      </c>
      <c r="N5" s="18" t="s">
        <v>753</v>
      </c>
      <c r="O5" s="18" t="s">
        <v>763</v>
      </c>
      <c r="P5" s="1">
        <v>2</v>
      </c>
      <c r="Q5" s="1">
        <v>2</v>
      </c>
      <c r="R5" s="1">
        <v>3</v>
      </c>
      <c r="V5" s="1">
        <v>3</v>
      </c>
    </row>
    <row r="6" spans="1:24" x14ac:dyDescent="0.15">
      <c r="A6" s="1">
        <v>4</v>
      </c>
      <c r="B6" s="1" t="s">
        <v>270</v>
      </c>
      <c r="C6" s="1" t="str">
        <f t="shared" si="1"/>
        <v>8,0,20,20</v>
      </c>
      <c r="D6" s="1" t="str">
        <f t="shared" si="0"/>
        <v>1000,4,10,10</v>
      </c>
      <c r="E6" s="1" t="str">
        <f t="shared" si="2"/>
        <v>7,0,2,2</v>
      </c>
      <c r="F6" s="1">
        <f t="shared" si="4"/>
        <v>100</v>
      </c>
      <c r="G6" s="1">
        <f t="shared" si="3"/>
        <v>500</v>
      </c>
      <c r="H6" s="1">
        <v>1</v>
      </c>
      <c r="I6" s="10">
        <f t="shared" si="5"/>
        <v>8.5000000000000006E-2</v>
      </c>
      <c r="J6" s="3">
        <v>104</v>
      </c>
      <c r="K6" s="18" t="s">
        <v>773</v>
      </c>
      <c r="L6" s="18" t="s">
        <v>734</v>
      </c>
      <c r="M6" s="18" t="s">
        <v>744</v>
      </c>
      <c r="N6" s="18" t="s">
        <v>754</v>
      </c>
      <c r="O6" s="18" t="s">
        <v>764</v>
      </c>
      <c r="P6" s="1">
        <v>1</v>
      </c>
      <c r="Q6" s="1">
        <v>3</v>
      </c>
      <c r="R6" s="1">
        <v>3</v>
      </c>
      <c r="V6" s="1">
        <v>4</v>
      </c>
    </row>
    <row r="7" spans="1:24" x14ac:dyDescent="0.15">
      <c r="A7" s="1">
        <v>5</v>
      </c>
      <c r="B7" s="1" t="s">
        <v>271</v>
      </c>
      <c r="C7" s="1" t="str">
        <f t="shared" si="1"/>
        <v>8,0,20,20</v>
      </c>
      <c r="D7" s="1" t="str">
        <f t="shared" si="0"/>
        <v>1000,5,10,10</v>
      </c>
      <c r="E7" s="1" t="str">
        <f t="shared" si="2"/>
        <v>7,0,2,2</v>
      </c>
      <c r="F7" s="1">
        <f t="shared" si="4"/>
        <v>100</v>
      </c>
      <c r="G7" s="1">
        <f t="shared" si="3"/>
        <v>500</v>
      </c>
      <c r="H7" s="1">
        <v>1</v>
      </c>
      <c r="I7" s="10">
        <f t="shared" si="5"/>
        <v>8.5000000000000006E-2</v>
      </c>
      <c r="J7" s="3">
        <v>105</v>
      </c>
      <c r="K7" s="18" t="s">
        <v>774</v>
      </c>
      <c r="L7" s="18" t="s">
        <v>735</v>
      </c>
      <c r="M7" s="18" t="s">
        <v>745</v>
      </c>
      <c r="N7" s="18" t="s">
        <v>755</v>
      </c>
      <c r="O7" s="18" t="s">
        <v>765</v>
      </c>
      <c r="P7" s="1">
        <v>2</v>
      </c>
      <c r="Q7" s="1">
        <v>1</v>
      </c>
      <c r="R7" s="1">
        <v>4</v>
      </c>
      <c r="V7" s="1">
        <v>5</v>
      </c>
    </row>
    <row r="8" spans="1:24" x14ac:dyDescent="0.15">
      <c r="A8" s="1">
        <v>6</v>
      </c>
      <c r="B8" s="1" t="s">
        <v>272</v>
      </c>
      <c r="C8" s="1" t="str">
        <f t="shared" si="1"/>
        <v>8,0,20,20</v>
      </c>
      <c r="D8" s="1" t="str">
        <f t="shared" si="0"/>
        <v>1000,6,10,10</v>
      </c>
      <c r="E8" s="1" t="str">
        <f t="shared" si="2"/>
        <v>7,0,2,2</v>
      </c>
      <c r="F8" s="1">
        <f t="shared" si="4"/>
        <v>142</v>
      </c>
      <c r="G8" s="1">
        <f t="shared" si="3"/>
        <v>710</v>
      </c>
      <c r="H8" s="1">
        <v>2</v>
      </c>
      <c r="I8" s="10">
        <f t="shared" si="5"/>
        <v>4.2500000000000003E-2</v>
      </c>
      <c r="J8" s="3">
        <v>106</v>
      </c>
      <c r="K8" s="18" t="s">
        <v>775</v>
      </c>
      <c r="L8" s="18" t="s">
        <v>736</v>
      </c>
      <c r="M8" s="18" t="s">
        <v>746</v>
      </c>
      <c r="N8" s="18" t="s">
        <v>756</v>
      </c>
      <c r="O8" s="18" t="s">
        <v>766</v>
      </c>
      <c r="P8" s="1">
        <v>1</v>
      </c>
      <c r="Q8" s="1">
        <v>1</v>
      </c>
      <c r="R8" s="1">
        <v>5</v>
      </c>
    </row>
    <row r="9" spans="1:24" x14ac:dyDescent="0.15">
      <c r="A9" s="1">
        <v>7</v>
      </c>
      <c r="B9" s="1" t="s">
        <v>273</v>
      </c>
      <c r="C9" s="1" t="str">
        <f t="shared" si="1"/>
        <v>8,0,20,20</v>
      </c>
      <c r="D9" s="1" t="str">
        <f t="shared" si="0"/>
        <v>1000,7,10,10</v>
      </c>
      <c r="E9" s="1" t="str">
        <f t="shared" si="2"/>
        <v>7,0,2,2</v>
      </c>
      <c r="F9" s="1">
        <f t="shared" si="4"/>
        <v>100</v>
      </c>
      <c r="G9" s="1">
        <f t="shared" si="3"/>
        <v>500</v>
      </c>
      <c r="H9" s="1">
        <v>1</v>
      </c>
      <c r="I9" s="10">
        <f t="shared" si="5"/>
        <v>8.5000000000000006E-2</v>
      </c>
      <c r="J9" s="3">
        <v>107</v>
      </c>
      <c r="K9" s="18" t="s">
        <v>776</v>
      </c>
      <c r="L9" s="18" t="s">
        <v>737</v>
      </c>
      <c r="M9" s="18" t="s">
        <v>747</v>
      </c>
      <c r="N9" s="18" t="s">
        <v>757</v>
      </c>
      <c r="O9" s="18" t="s">
        <v>767</v>
      </c>
      <c r="P9" s="1">
        <v>1</v>
      </c>
      <c r="Q9" s="1">
        <v>1</v>
      </c>
      <c r="R9" s="1">
        <v>2</v>
      </c>
    </row>
    <row r="10" spans="1:24" x14ac:dyDescent="0.15">
      <c r="A10" s="1">
        <v>8</v>
      </c>
      <c r="B10" s="1" t="s">
        <v>274</v>
      </c>
      <c r="C10" s="1" t="str">
        <f t="shared" si="1"/>
        <v>8,0,20,20</v>
      </c>
      <c r="D10" s="1" t="str">
        <f t="shared" si="0"/>
        <v>1000,8,10,10</v>
      </c>
      <c r="E10" s="1" t="str">
        <f t="shared" si="2"/>
        <v>7,0,2,2</v>
      </c>
      <c r="F10" s="1">
        <f t="shared" si="4"/>
        <v>174</v>
      </c>
      <c r="G10" s="1">
        <f t="shared" si="3"/>
        <v>870</v>
      </c>
      <c r="H10" s="1">
        <v>3</v>
      </c>
      <c r="I10" s="10">
        <f t="shared" si="5"/>
        <v>2.8333333333333335E-2</v>
      </c>
      <c r="J10" s="3">
        <v>108</v>
      </c>
      <c r="K10" s="18" t="s">
        <v>777</v>
      </c>
      <c r="L10" s="18" t="s">
        <v>738</v>
      </c>
      <c r="M10" s="18" t="s">
        <v>748</v>
      </c>
      <c r="N10" s="18" t="s">
        <v>758</v>
      </c>
      <c r="O10" s="18" t="s">
        <v>768</v>
      </c>
      <c r="P10" s="1">
        <v>2</v>
      </c>
      <c r="Q10" s="1">
        <v>2</v>
      </c>
      <c r="R10" s="1">
        <v>4</v>
      </c>
    </row>
    <row r="11" spans="1:24" x14ac:dyDescent="0.15">
      <c r="A11" s="1">
        <v>9</v>
      </c>
      <c r="B11" s="1" t="s">
        <v>275</v>
      </c>
      <c r="C11" s="1" t="str">
        <f t="shared" si="1"/>
        <v>8,0,20,20</v>
      </c>
      <c r="D11" s="1" t="str">
        <f t="shared" si="0"/>
        <v>1000,9,10,10</v>
      </c>
      <c r="E11" s="1" t="str">
        <f t="shared" si="2"/>
        <v>7,0,2,2</v>
      </c>
      <c r="F11" s="1">
        <f t="shared" si="4"/>
        <v>174</v>
      </c>
      <c r="G11" s="1">
        <f t="shared" si="3"/>
        <v>870</v>
      </c>
      <c r="H11" s="1">
        <v>3</v>
      </c>
      <c r="I11" s="10">
        <f t="shared" si="5"/>
        <v>2.8333333333333335E-2</v>
      </c>
      <c r="J11" s="3">
        <v>109</v>
      </c>
      <c r="K11" s="18" t="s">
        <v>778</v>
      </c>
      <c r="L11" s="18" t="s">
        <v>739</v>
      </c>
      <c r="M11" s="18" t="s">
        <v>749</v>
      </c>
      <c r="N11" s="18" t="s">
        <v>759</v>
      </c>
      <c r="O11" s="18" t="s">
        <v>769</v>
      </c>
      <c r="P11" s="1">
        <v>4</v>
      </c>
      <c r="Q11" s="1">
        <v>2</v>
      </c>
      <c r="R11" s="1">
        <v>1</v>
      </c>
    </row>
    <row r="12" spans="1:24" x14ac:dyDescent="0.15">
      <c r="A12" s="1">
        <v>10</v>
      </c>
      <c r="B12" s="1" t="s">
        <v>276</v>
      </c>
      <c r="C12" s="1" t="str">
        <f t="shared" si="1"/>
        <v>8,0,20,20</v>
      </c>
      <c r="D12" s="1" t="str">
        <f t="shared" si="0"/>
        <v>1000,10,10,10</v>
      </c>
      <c r="E12" s="1" t="str">
        <f t="shared" si="2"/>
        <v>7,0,2,2</v>
      </c>
      <c r="F12" s="1">
        <f t="shared" si="4"/>
        <v>174</v>
      </c>
      <c r="G12" s="1">
        <f t="shared" si="3"/>
        <v>870</v>
      </c>
      <c r="H12" s="1">
        <v>3</v>
      </c>
      <c r="I12" s="10">
        <f t="shared" si="5"/>
        <v>2.8333333333333335E-2</v>
      </c>
      <c r="J12" s="3">
        <v>110</v>
      </c>
      <c r="K12" s="18" t="s">
        <v>779</v>
      </c>
      <c r="L12" s="18" t="s">
        <v>740</v>
      </c>
      <c r="M12" s="18" t="s">
        <v>750</v>
      </c>
      <c r="N12" s="18" t="s">
        <v>760</v>
      </c>
      <c r="O12" s="18" t="s">
        <v>678</v>
      </c>
      <c r="P12" s="1">
        <v>3</v>
      </c>
      <c r="Q12" s="1">
        <v>3</v>
      </c>
      <c r="R12" s="1">
        <v>5</v>
      </c>
    </row>
    <row r="13" spans="1:24" x14ac:dyDescent="0.15">
      <c r="A13" s="1">
        <v>11</v>
      </c>
      <c r="B13" s="1" t="s">
        <v>138</v>
      </c>
      <c r="C13" s="1" t="str">
        <f t="shared" si="1"/>
        <v>8,0,20,20</v>
      </c>
      <c r="D13" s="1" t="str">
        <f t="shared" si="0"/>
        <v>1000,11,10,10</v>
      </c>
      <c r="E13" s="1" t="str">
        <f t="shared" si="2"/>
        <v>7,0,2,2</v>
      </c>
      <c r="F13" s="1">
        <f t="shared" si="4"/>
        <v>174</v>
      </c>
      <c r="G13" s="1">
        <f t="shared" si="3"/>
        <v>870</v>
      </c>
      <c r="H13" s="1">
        <v>3</v>
      </c>
      <c r="I13" s="10">
        <f t="shared" si="5"/>
        <v>2.8333333333333335E-2</v>
      </c>
      <c r="J13" s="3">
        <v>0</v>
      </c>
      <c r="K13" s="11">
        <v>45</v>
      </c>
      <c r="L13" s="11">
        <v>45</v>
      </c>
      <c r="M13" s="11">
        <v>45</v>
      </c>
      <c r="N13" s="11">
        <v>45</v>
      </c>
      <c r="O13" s="11">
        <v>45</v>
      </c>
      <c r="P13" s="1">
        <v>3</v>
      </c>
      <c r="Q13" s="1">
        <v>0</v>
      </c>
      <c r="R13" s="1">
        <v>4</v>
      </c>
    </row>
    <row r="14" spans="1:24" x14ac:dyDescent="0.15">
      <c r="A14" s="1">
        <v>12</v>
      </c>
      <c r="B14" s="1" t="s">
        <v>140</v>
      </c>
      <c r="C14" s="1" t="str">
        <f t="shared" si="1"/>
        <v>8,0,20,20</v>
      </c>
      <c r="D14" s="1" t="str">
        <f t="shared" si="0"/>
        <v>1000,12,10,10</v>
      </c>
      <c r="E14" s="1" t="str">
        <f t="shared" si="2"/>
        <v>7,0,2,2</v>
      </c>
      <c r="F14" s="1">
        <f t="shared" si="4"/>
        <v>174</v>
      </c>
      <c r="G14" s="1">
        <f t="shared" si="3"/>
        <v>870</v>
      </c>
      <c r="H14" s="1">
        <v>3</v>
      </c>
      <c r="I14" s="10">
        <f t="shared" si="5"/>
        <v>2.8333333333333335E-2</v>
      </c>
      <c r="J14" s="3">
        <v>0</v>
      </c>
      <c r="K14" s="11">
        <v>47</v>
      </c>
      <c r="L14" s="11">
        <v>47</v>
      </c>
      <c r="M14" s="11">
        <v>47</v>
      </c>
      <c r="N14" s="11">
        <v>47</v>
      </c>
      <c r="O14" s="11">
        <v>47</v>
      </c>
      <c r="P14" s="1">
        <v>3</v>
      </c>
      <c r="Q14" s="1">
        <v>0</v>
      </c>
      <c r="R14" s="1">
        <v>3</v>
      </c>
    </row>
    <row r="15" spans="1:24" x14ac:dyDescent="0.15">
      <c r="A15" s="1">
        <v>13</v>
      </c>
      <c r="B15" s="1" t="s">
        <v>277</v>
      </c>
      <c r="C15" s="1" t="str">
        <f t="shared" si="1"/>
        <v>8,0,20,20</v>
      </c>
      <c r="D15" s="1" t="str">
        <f t="shared" si="0"/>
        <v>1000,13,10,10</v>
      </c>
      <c r="E15" s="1" t="str">
        <f t="shared" si="2"/>
        <v>7,0,2,2</v>
      </c>
      <c r="F15" s="1">
        <f t="shared" si="4"/>
        <v>200</v>
      </c>
      <c r="G15" s="1">
        <f t="shared" si="3"/>
        <v>1000</v>
      </c>
      <c r="H15" s="1">
        <v>4</v>
      </c>
      <c r="I15" s="10">
        <f t="shared" si="5"/>
        <v>2.1250000000000002E-2</v>
      </c>
      <c r="J15" s="3">
        <v>0</v>
      </c>
      <c r="K15" s="11">
        <v>75</v>
      </c>
      <c r="L15" s="11">
        <v>75</v>
      </c>
      <c r="M15" s="11">
        <v>75</v>
      </c>
      <c r="N15" s="11">
        <v>75</v>
      </c>
      <c r="O15" s="11">
        <v>75</v>
      </c>
      <c r="P15" s="1">
        <v>3</v>
      </c>
      <c r="Q15" s="1">
        <v>0</v>
      </c>
      <c r="R15" s="1">
        <v>5</v>
      </c>
    </row>
    <row r="16" spans="1:24" x14ac:dyDescent="0.15">
      <c r="A16" s="1">
        <v>14</v>
      </c>
      <c r="B16" s="1" t="s">
        <v>278</v>
      </c>
      <c r="C16" s="1" t="str">
        <f t="shared" si="1"/>
        <v>8,0,20,20</v>
      </c>
      <c r="D16" s="1" t="str">
        <f t="shared" si="0"/>
        <v>1000,14,10,10</v>
      </c>
      <c r="E16" s="1" t="str">
        <f t="shared" si="2"/>
        <v>7,0,2,2</v>
      </c>
      <c r="F16" s="1">
        <f t="shared" si="4"/>
        <v>174</v>
      </c>
      <c r="G16" s="1">
        <f t="shared" si="3"/>
        <v>870</v>
      </c>
      <c r="H16" s="1">
        <v>3</v>
      </c>
      <c r="I16" s="10">
        <f t="shared" si="5"/>
        <v>2.8333333333333335E-2</v>
      </c>
      <c r="J16" s="3">
        <v>0</v>
      </c>
      <c r="K16" s="11">
        <v>76</v>
      </c>
      <c r="L16" s="11">
        <v>76</v>
      </c>
      <c r="M16" s="11">
        <v>76</v>
      </c>
      <c r="N16" s="11">
        <v>76</v>
      </c>
      <c r="O16" s="11">
        <v>76</v>
      </c>
      <c r="P16" s="1">
        <v>3</v>
      </c>
      <c r="Q16" s="1">
        <v>0</v>
      </c>
      <c r="R16" s="1">
        <v>4</v>
      </c>
    </row>
    <row r="17" spans="1:18" x14ac:dyDescent="0.15">
      <c r="A17" s="1">
        <v>15</v>
      </c>
      <c r="B17" s="1" t="s">
        <v>279</v>
      </c>
      <c r="C17" s="1" t="str">
        <f t="shared" si="1"/>
        <v>8,0,20,20</v>
      </c>
      <c r="D17" s="1" t="str">
        <f t="shared" si="0"/>
        <v>1000,15,10,10</v>
      </c>
      <c r="E17" s="1" t="str">
        <f t="shared" si="2"/>
        <v>7,0,2,2</v>
      </c>
      <c r="F17" s="1">
        <f t="shared" si="4"/>
        <v>174</v>
      </c>
      <c r="G17" s="1">
        <f t="shared" si="3"/>
        <v>870</v>
      </c>
      <c r="H17" s="1">
        <v>3</v>
      </c>
      <c r="I17" s="10">
        <f t="shared" si="5"/>
        <v>2.8333333333333335E-2</v>
      </c>
      <c r="J17" s="3">
        <v>0</v>
      </c>
      <c r="K17" s="11">
        <v>77</v>
      </c>
      <c r="L17" s="11">
        <v>77</v>
      </c>
      <c r="M17" s="11">
        <v>77</v>
      </c>
      <c r="N17" s="11">
        <v>77</v>
      </c>
      <c r="O17" s="11">
        <v>77</v>
      </c>
      <c r="P17" s="1">
        <v>3</v>
      </c>
      <c r="Q17" s="1">
        <v>0</v>
      </c>
      <c r="R17" s="1">
        <v>1</v>
      </c>
    </row>
    <row r="18" spans="1:18" x14ac:dyDescent="0.15">
      <c r="A18" s="1">
        <v>16</v>
      </c>
      <c r="B18" s="1" t="s">
        <v>280</v>
      </c>
      <c r="C18" s="1" t="str">
        <f t="shared" si="1"/>
        <v>8,0,20,20</v>
      </c>
      <c r="D18" s="1" t="str">
        <f t="shared" si="0"/>
        <v>1000,16,10,10</v>
      </c>
      <c r="E18" s="1" t="str">
        <f t="shared" si="2"/>
        <v>7,0,2,2</v>
      </c>
      <c r="F18" s="1">
        <f t="shared" si="4"/>
        <v>200</v>
      </c>
      <c r="G18" s="1">
        <f t="shared" si="3"/>
        <v>1000</v>
      </c>
      <c r="H18" s="1">
        <v>4</v>
      </c>
      <c r="I18" s="10">
        <f t="shared" si="5"/>
        <v>2.1250000000000002E-2</v>
      </c>
      <c r="J18" s="3">
        <v>0</v>
      </c>
      <c r="K18" s="11">
        <v>78</v>
      </c>
      <c r="L18" s="11">
        <v>78</v>
      </c>
      <c r="M18" s="11">
        <v>78</v>
      </c>
      <c r="N18" s="11">
        <v>78</v>
      </c>
      <c r="O18" s="11">
        <v>78</v>
      </c>
      <c r="P18" s="1">
        <v>3</v>
      </c>
      <c r="Q18" s="1">
        <v>0</v>
      </c>
      <c r="R18" s="1">
        <v>1</v>
      </c>
    </row>
    <row r="19" spans="1:18" x14ac:dyDescent="0.15">
      <c r="A19" s="1">
        <v>17</v>
      </c>
      <c r="B19" s="1" t="s">
        <v>281</v>
      </c>
      <c r="C19" s="1" t="str">
        <f t="shared" si="1"/>
        <v>8,0,20,20</v>
      </c>
      <c r="D19" s="1" t="str">
        <f t="shared" si="0"/>
        <v>1000,17,10,10</v>
      </c>
      <c r="E19" s="1" t="str">
        <f t="shared" si="2"/>
        <v>7,0,2,2</v>
      </c>
      <c r="F19" s="1">
        <f t="shared" si="4"/>
        <v>174</v>
      </c>
      <c r="G19" s="1">
        <f t="shared" si="3"/>
        <v>870</v>
      </c>
      <c r="H19" s="1">
        <v>3</v>
      </c>
      <c r="I19" s="10">
        <f t="shared" si="5"/>
        <v>2.8333333333333335E-2</v>
      </c>
      <c r="J19" s="3">
        <v>0</v>
      </c>
      <c r="K19" s="11">
        <v>79</v>
      </c>
      <c r="L19" s="11">
        <v>79</v>
      </c>
      <c r="M19" s="11">
        <v>79</v>
      </c>
      <c r="N19" s="11">
        <v>79</v>
      </c>
      <c r="O19" s="11">
        <v>79</v>
      </c>
      <c r="P19" s="1">
        <v>3</v>
      </c>
      <c r="Q19" s="1">
        <v>0</v>
      </c>
      <c r="R19" s="1">
        <v>4</v>
      </c>
    </row>
    <row r="20" spans="1:18" x14ac:dyDescent="0.15">
      <c r="A20" s="1">
        <v>18</v>
      </c>
      <c r="B20" s="1" t="s">
        <v>132</v>
      </c>
      <c r="C20" s="1" t="str">
        <f t="shared" si="1"/>
        <v>8,0,20,20</v>
      </c>
      <c r="D20" s="1" t="str">
        <f t="shared" si="0"/>
        <v>1000,18,10,10</v>
      </c>
      <c r="E20" s="1" t="str">
        <f t="shared" si="2"/>
        <v>7,0,2,2</v>
      </c>
      <c r="F20" s="1">
        <f t="shared" si="4"/>
        <v>174</v>
      </c>
      <c r="G20" s="1">
        <f t="shared" si="3"/>
        <v>870</v>
      </c>
      <c r="H20" s="1">
        <v>3</v>
      </c>
      <c r="I20" s="10">
        <f t="shared" si="5"/>
        <v>2.8333333333333335E-2</v>
      </c>
      <c r="J20" s="3">
        <v>0</v>
      </c>
      <c r="K20" s="11">
        <v>39</v>
      </c>
      <c r="L20" s="11">
        <v>39</v>
      </c>
      <c r="M20" s="11">
        <v>39</v>
      </c>
      <c r="N20" s="11">
        <v>39</v>
      </c>
      <c r="O20" s="11">
        <v>39</v>
      </c>
      <c r="P20" s="1">
        <v>3</v>
      </c>
      <c r="Q20" s="1">
        <v>0</v>
      </c>
      <c r="R20" s="1">
        <v>2</v>
      </c>
    </row>
    <row r="21" spans="1:18" x14ac:dyDescent="0.15">
      <c r="A21" s="1">
        <v>19</v>
      </c>
      <c r="B21" s="1" t="s">
        <v>282</v>
      </c>
      <c r="C21" s="1" t="str">
        <f t="shared" si="1"/>
        <v>8,0,20,20</v>
      </c>
      <c r="D21" s="1" t="str">
        <f t="shared" si="0"/>
        <v>1000,19,10,10</v>
      </c>
      <c r="E21" s="1" t="str">
        <f t="shared" si="2"/>
        <v>7,0,2,2</v>
      </c>
      <c r="F21" s="1">
        <f t="shared" si="4"/>
        <v>174</v>
      </c>
      <c r="G21" s="1">
        <f t="shared" si="3"/>
        <v>870</v>
      </c>
      <c r="H21" s="1">
        <v>3</v>
      </c>
      <c r="I21" s="10">
        <f t="shared" si="5"/>
        <v>2.8333333333333335E-2</v>
      </c>
      <c r="J21" s="3">
        <v>0</v>
      </c>
      <c r="K21" s="11">
        <v>80</v>
      </c>
      <c r="L21" s="11">
        <v>80</v>
      </c>
      <c r="M21" s="11">
        <v>80</v>
      </c>
      <c r="N21" s="11">
        <v>80</v>
      </c>
      <c r="O21" s="11">
        <v>80</v>
      </c>
      <c r="P21" s="1">
        <v>3</v>
      </c>
      <c r="Q21" s="1">
        <v>0</v>
      </c>
      <c r="R21" s="1">
        <v>1</v>
      </c>
    </row>
    <row r="22" spans="1:18" x14ac:dyDescent="0.15">
      <c r="A22" s="1">
        <v>20</v>
      </c>
      <c r="B22" s="1" t="s">
        <v>283</v>
      </c>
      <c r="C22" s="1" t="str">
        <f t="shared" si="1"/>
        <v>8,0,20,20</v>
      </c>
      <c r="D22" s="1" t="str">
        <f t="shared" si="0"/>
        <v>1000,20,10,10</v>
      </c>
      <c r="E22" s="1" t="str">
        <f t="shared" si="2"/>
        <v>7,0,2,2</v>
      </c>
      <c r="F22" s="1">
        <f t="shared" si="4"/>
        <v>224</v>
      </c>
      <c r="G22" s="1">
        <f t="shared" si="3"/>
        <v>1120</v>
      </c>
      <c r="H22" s="1">
        <v>5</v>
      </c>
      <c r="I22" s="10">
        <f t="shared" si="5"/>
        <v>1.7000000000000001E-2</v>
      </c>
      <c r="J22" s="3">
        <v>0</v>
      </c>
      <c r="K22" s="11">
        <v>81</v>
      </c>
      <c r="L22" s="11">
        <v>81</v>
      </c>
      <c r="M22" s="11">
        <v>81</v>
      </c>
      <c r="N22" s="11">
        <v>81</v>
      </c>
      <c r="O22" s="11">
        <v>81</v>
      </c>
      <c r="P22" s="1">
        <v>3</v>
      </c>
      <c r="Q22" s="1">
        <v>0</v>
      </c>
      <c r="R22" s="1">
        <v>5</v>
      </c>
    </row>
    <row r="23" spans="1:18" x14ac:dyDescent="0.15">
      <c r="A23" s="1">
        <v>21</v>
      </c>
      <c r="B23" s="1" t="s">
        <v>284</v>
      </c>
      <c r="C23" s="1" t="str">
        <f t="shared" si="1"/>
        <v>8,0,20,20</v>
      </c>
      <c r="D23" s="1" t="str">
        <f t="shared" si="0"/>
        <v>1000,21,10,10</v>
      </c>
      <c r="E23" s="1" t="str">
        <f t="shared" si="2"/>
        <v>7,0,2,2</v>
      </c>
      <c r="F23" s="1">
        <f t="shared" si="4"/>
        <v>174</v>
      </c>
      <c r="G23" s="1">
        <f t="shared" si="3"/>
        <v>870</v>
      </c>
      <c r="H23" s="1">
        <v>3</v>
      </c>
      <c r="I23" s="10">
        <f t="shared" si="5"/>
        <v>2.8333333333333335E-2</v>
      </c>
      <c r="J23" s="3">
        <v>0</v>
      </c>
      <c r="K23" s="11">
        <v>82</v>
      </c>
      <c r="L23" s="11">
        <v>82</v>
      </c>
      <c r="M23" s="11">
        <v>82</v>
      </c>
      <c r="N23" s="11">
        <v>82</v>
      </c>
      <c r="O23" s="11">
        <v>82</v>
      </c>
      <c r="P23" s="1">
        <v>3</v>
      </c>
      <c r="Q23" s="1">
        <v>0</v>
      </c>
      <c r="R23" s="1">
        <v>3</v>
      </c>
    </row>
    <row r="24" spans="1:18" x14ac:dyDescent="0.15">
      <c r="A24" s="1">
        <v>22</v>
      </c>
      <c r="B24" s="1" t="s">
        <v>285</v>
      </c>
      <c r="C24" s="1" t="str">
        <f t="shared" si="1"/>
        <v>8,0,20,20</v>
      </c>
      <c r="D24" s="1" t="str">
        <f t="shared" si="0"/>
        <v>1000,22,10,10</v>
      </c>
      <c r="E24" s="1" t="str">
        <f t="shared" si="2"/>
        <v>7,0,2,2</v>
      </c>
      <c r="F24" s="1">
        <f t="shared" si="4"/>
        <v>174</v>
      </c>
      <c r="G24" s="1">
        <f t="shared" si="3"/>
        <v>870</v>
      </c>
      <c r="H24" s="1">
        <v>3</v>
      </c>
      <c r="I24" s="10">
        <f t="shared" si="5"/>
        <v>2.8333333333333335E-2</v>
      </c>
      <c r="J24" s="3">
        <v>0</v>
      </c>
      <c r="K24" s="11">
        <v>83</v>
      </c>
      <c r="L24" s="11">
        <v>83</v>
      </c>
      <c r="M24" s="11">
        <v>83</v>
      </c>
      <c r="N24" s="11">
        <v>83</v>
      </c>
      <c r="O24" s="11">
        <v>83</v>
      </c>
      <c r="P24" s="1">
        <v>3</v>
      </c>
      <c r="Q24" s="1">
        <v>0</v>
      </c>
      <c r="R24" s="1">
        <v>3</v>
      </c>
    </row>
    <row r="25" spans="1:18" x14ac:dyDescent="0.15">
      <c r="A25" s="1">
        <v>23</v>
      </c>
      <c r="B25" s="1" t="s">
        <v>286</v>
      </c>
      <c r="C25" s="1" t="str">
        <f t="shared" si="1"/>
        <v>8,0,20,20</v>
      </c>
      <c r="D25" s="1" t="str">
        <f t="shared" si="0"/>
        <v>1000,23,10,10</v>
      </c>
      <c r="E25" s="1" t="str">
        <f t="shared" si="2"/>
        <v>7,0,2,2</v>
      </c>
      <c r="F25" s="1">
        <f t="shared" si="4"/>
        <v>174</v>
      </c>
      <c r="G25" s="1">
        <f t="shared" si="3"/>
        <v>870</v>
      </c>
      <c r="H25" s="1">
        <v>3</v>
      </c>
      <c r="I25" s="10">
        <f t="shared" si="5"/>
        <v>2.8333333333333335E-2</v>
      </c>
      <c r="J25" s="3">
        <v>0</v>
      </c>
      <c r="K25" s="11">
        <v>84</v>
      </c>
      <c r="L25" s="11">
        <v>84</v>
      </c>
      <c r="M25" s="11">
        <v>84</v>
      </c>
      <c r="N25" s="11">
        <v>84</v>
      </c>
      <c r="O25" s="11">
        <v>84</v>
      </c>
      <c r="P25" s="1">
        <v>3</v>
      </c>
      <c r="Q25" s="1">
        <v>0</v>
      </c>
      <c r="R25" s="1">
        <v>2</v>
      </c>
    </row>
    <row r="26" spans="1:18" x14ac:dyDescent="0.15">
      <c r="A26" s="1">
        <v>24</v>
      </c>
      <c r="B26" s="1" t="s">
        <v>287</v>
      </c>
      <c r="C26" s="1" t="str">
        <f t="shared" si="1"/>
        <v>8,0,20,20</v>
      </c>
      <c r="D26" s="1" t="str">
        <f t="shared" si="0"/>
        <v>1000,24,10,10</v>
      </c>
      <c r="E26" s="1" t="str">
        <f t="shared" si="2"/>
        <v>7,0,2,2</v>
      </c>
      <c r="F26" s="1">
        <f t="shared" si="4"/>
        <v>174</v>
      </c>
      <c r="G26" s="1">
        <f t="shared" si="3"/>
        <v>870</v>
      </c>
      <c r="H26" s="1">
        <v>3</v>
      </c>
      <c r="I26" s="10">
        <f t="shared" si="5"/>
        <v>2.8333333333333335E-2</v>
      </c>
      <c r="J26" s="3">
        <v>0</v>
      </c>
      <c r="K26" s="11">
        <v>85</v>
      </c>
      <c r="L26" s="11">
        <v>85</v>
      </c>
      <c r="M26" s="11">
        <v>85</v>
      </c>
      <c r="N26" s="11">
        <v>85</v>
      </c>
      <c r="O26" s="11">
        <v>85</v>
      </c>
      <c r="P26" s="1">
        <v>3</v>
      </c>
      <c r="Q26" s="1">
        <v>0</v>
      </c>
      <c r="R26" s="1">
        <v>2</v>
      </c>
    </row>
    <row r="27" spans="1:18" x14ac:dyDescent="0.15">
      <c r="A27" s="1">
        <v>25</v>
      </c>
      <c r="B27" s="1" t="s">
        <v>288</v>
      </c>
      <c r="C27" s="1" t="str">
        <f t="shared" si="1"/>
        <v>8,0,20,20</v>
      </c>
      <c r="D27" s="1" t="str">
        <f t="shared" si="0"/>
        <v>1000,25,10,10</v>
      </c>
      <c r="E27" s="1" t="str">
        <f t="shared" si="2"/>
        <v>7,0,2,2</v>
      </c>
      <c r="F27" s="1">
        <f t="shared" si="4"/>
        <v>174</v>
      </c>
      <c r="G27" s="1">
        <f t="shared" si="3"/>
        <v>870</v>
      </c>
      <c r="H27" s="1">
        <v>3</v>
      </c>
      <c r="I27" s="10">
        <f t="shared" si="5"/>
        <v>2.8333333333333335E-2</v>
      </c>
      <c r="J27" s="3">
        <v>0</v>
      </c>
      <c r="K27" s="11">
        <v>86</v>
      </c>
      <c r="L27" s="11">
        <v>86</v>
      </c>
      <c r="M27" s="11">
        <v>86</v>
      </c>
      <c r="N27" s="11">
        <v>86</v>
      </c>
      <c r="O27" s="11">
        <v>86</v>
      </c>
      <c r="P27" s="1">
        <v>3</v>
      </c>
      <c r="Q27" s="1">
        <v>0</v>
      </c>
      <c r="R27" s="1">
        <v>3</v>
      </c>
    </row>
    <row r="28" spans="1:18" x14ac:dyDescent="0.15">
      <c r="A28" s="21"/>
      <c r="I28" s="10"/>
    </row>
    <row r="29" spans="1:18" x14ac:dyDescent="0.15">
      <c r="A29" s="18"/>
    </row>
    <row r="30" spans="1:18" x14ac:dyDescent="0.15">
      <c r="A30" s="5" t="s">
        <v>185</v>
      </c>
      <c r="B30" s="5"/>
    </row>
    <row r="31" spans="1:18" ht="13.5" x14ac:dyDescent="0.15">
      <c r="A31" s="30" t="s">
        <v>791</v>
      </c>
      <c r="B31" s="27"/>
      <c r="C31" s="28"/>
      <c r="D31" s="28"/>
      <c r="E31" s="28"/>
      <c r="F31" s="28"/>
      <c r="G31" s="28"/>
      <c r="H31" s="28"/>
      <c r="I31" s="28"/>
      <c r="J31" s="28"/>
      <c r="K31" s="28"/>
      <c r="L31" s="24"/>
      <c r="M31" s="24"/>
      <c r="N31" s="24"/>
      <c r="O31" s="24"/>
    </row>
    <row r="32" spans="1:18" ht="13.5" x14ac:dyDescent="0.15">
      <c r="A32" s="27" t="s">
        <v>289</v>
      </c>
      <c r="B32" s="27"/>
      <c r="C32" s="28"/>
      <c r="D32" s="28"/>
      <c r="E32" s="28"/>
      <c r="F32" s="28"/>
      <c r="G32" s="28"/>
      <c r="H32" s="28"/>
      <c r="I32" s="28"/>
      <c r="J32" s="28"/>
      <c r="K32" s="28"/>
      <c r="L32" s="24"/>
      <c r="M32" s="24"/>
      <c r="N32" s="24"/>
      <c r="O32" s="24"/>
    </row>
    <row r="33" spans="1:15" ht="13.5" x14ac:dyDescent="0.15">
      <c r="A33" s="27" t="s">
        <v>290</v>
      </c>
      <c r="B33" s="27"/>
      <c r="C33" s="28"/>
      <c r="D33" s="28"/>
      <c r="E33" s="28"/>
      <c r="F33" s="28"/>
      <c r="G33" s="28"/>
      <c r="H33" s="28"/>
      <c r="I33" s="28"/>
      <c r="J33" s="28"/>
      <c r="K33" s="28"/>
      <c r="L33" s="24"/>
      <c r="M33" s="24"/>
      <c r="N33" s="24"/>
      <c r="O33" s="24"/>
    </row>
    <row r="34" spans="1:15" ht="13.5" x14ac:dyDescent="0.15">
      <c r="A34" s="27" t="s">
        <v>291</v>
      </c>
      <c r="B34" s="27"/>
      <c r="C34" s="28"/>
      <c r="D34" s="28"/>
      <c r="E34" s="28"/>
      <c r="F34" s="28"/>
      <c r="G34" s="28"/>
      <c r="H34" s="28"/>
      <c r="I34" s="28"/>
      <c r="J34" s="28"/>
      <c r="K34" s="28"/>
      <c r="L34" s="24"/>
      <c r="M34" s="24"/>
      <c r="N34" s="24"/>
      <c r="O34" s="24"/>
    </row>
    <row r="35" spans="1:15" ht="13.5" x14ac:dyDescent="0.15">
      <c r="A35" s="27" t="s">
        <v>292</v>
      </c>
      <c r="B35" s="27"/>
      <c r="C35" s="28"/>
      <c r="D35" s="28"/>
      <c r="E35" s="28"/>
      <c r="F35" s="28"/>
      <c r="G35" s="28"/>
      <c r="H35" s="28"/>
      <c r="I35" s="28"/>
      <c r="J35" s="28"/>
      <c r="K35" s="28"/>
      <c r="L35" s="24"/>
      <c r="M35" s="24"/>
      <c r="N35" s="24"/>
      <c r="O35" s="24"/>
    </row>
    <row r="37" spans="1:15" x14ac:dyDescent="0.15">
      <c r="A37" s="1" t="s">
        <v>293</v>
      </c>
      <c r="B37" s="1" t="s">
        <v>294</v>
      </c>
      <c r="C37" s="1" t="s">
        <v>295</v>
      </c>
      <c r="D37" s="1" t="s">
        <v>296</v>
      </c>
      <c r="E37" s="1" t="s">
        <v>297</v>
      </c>
      <c r="G37" s="1" t="s">
        <v>298</v>
      </c>
    </row>
    <row r="38" spans="1:15" x14ac:dyDescent="0.15">
      <c r="A38" s="1">
        <v>2</v>
      </c>
      <c r="B38" s="1">
        <f>ROUNDUP($W$3*5+POWER(A38-1,3)*$X$3*5,0)</f>
        <v>20</v>
      </c>
      <c r="C38" s="1">
        <v>2</v>
      </c>
      <c r="D38" s="1">
        <f>ROUNDUP($W$3*10+POWER(C38-1,3)*$X$3*10,0)</f>
        <v>40</v>
      </c>
      <c r="E38" s="1">
        <v>1</v>
      </c>
      <c r="G38" s="1">
        <f>E38*$X$3</f>
        <v>2</v>
      </c>
    </row>
    <row r="39" spans="1:15" x14ac:dyDescent="0.15">
      <c r="A39" s="1">
        <v>3</v>
      </c>
      <c r="B39" s="1">
        <f>ROUNDUP($W$3*5+POWER(A39-1,3)*$X$3*5,0)</f>
        <v>90</v>
      </c>
      <c r="C39" s="1">
        <v>3</v>
      </c>
      <c r="D39" s="1">
        <f>ROUNDUP($W$3*10+POWER(C39-1,3)*$X$3*10,0)</f>
        <v>180</v>
      </c>
      <c r="E39" s="1">
        <v>2</v>
      </c>
      <c r="G39" s="1">
        <f t="shared" ref="G39:G102" si="6">E39*$X$3</f>
        <v>4</v>
      </c>
    </row>
    <row r="40" spans="1:15" x14ac:dyDescent="0.15">
      <c r="A40" s="1">
        <v>4</v>
      </c>
      <c r="B40" s="1">
        <f>ROUNDUP($W$3*5+POWER(A40-1,3)*$X$3*5,0)</f>
        <v>280</v>
      </c>
      <c r="C40" s="1">
        <v>4</v>
      </c>
      <c r="D40" s="1">
        <f>ROUNDUP($W$3*10+POWER(C40-1,3)*$X$3*10,0)</f>
        <v>560</v>
      </c>
      <c r="E40" s="1">
        <v>3</v>
      </c>
      <c r="G40" s="1">
        <f t="shared" si="6"/>
        <v>6</v>
      </c>
    </row>
    <row r="41" spans="1:15" x14ac:dyDescent="0.15">
      <c r="A41" s="1">
        <v>5</v>
      </c>
      <c r="B41" s="1">
        <f>ROUNDUP($W$3*5+POWER(A41-1,3)*$X$3*5,0)</f>
        <v>650</v>
      </c>
      <c r="C41" s="1">
        <v>5</v>
      </c>
      <c r="D41" s="1">
        <f>ROUNDUP($W$3*10+POWER(C41-1,3)*$X$3*10,0)</f>
        <v>1300</v>
      </c>
      <c r="E41" s="1">
        <v>4</v>
      </c>
      <c r="G41" s="1">
        <f t="shared" si="6"/>
        <v>8</v>
      </c>
    </row>
    <row r="42" spans="1:15" x14ac:dyDescent="0.15">
      <c r="A42" s="1" t="s">
        <v>299</v>
      </c>
      <c r="B42" s="1">
        <f>SUM(B38:B41)</f>
        <v>1040</v>
      </c>
      <c r="D42" s="1">
        <f>SUM(D38:D41)</f>
        <v>2080</v>
      </c>
      <c r="E42" s="1">
        <v>5</v>
      </c>
      <c r="G42" s="1">
        <f t="shared" si="6"/>
        <v>10</v>
      </c>
    </row>
    <row r="43" spans="1:15" x14ac:dyDescent="0.15">
      <c r="E43" s="1">
        <v>6</v>
      </c>
      <c r="G43" s="1">
        <f t="shared" si="6"/>
        <v>12</v>
      </c>
    </row>
    <row r="44" spans="1:15" x14ac:dyDescent="0.15">
      <c r="E44" s="1">
        <v>7</v>
      </c>
      <c r="G44" s="1">
        <f t="shared" si="6"/>
        <v>14</v>
      </c>
    </row>
    <row r="45" spans="1:15" x14ac:dyDescent="0.15">
      <c r="E45" s="1">
        <v>8</v>
      </c>
      <c r="G45" s="1">
        <f t="shared" si="6"/>
        <v>16</v>
      </c>
    </row>
    <row r="46" spans="1:15" x14ac:dyDescent="0.15">
      <c r="E46" s="1">
        <v>9</v>
      </c>
      <c r="G46" s="1">
        <f t="shared" si="6"/>
        <v>18</v>
      </c>
    </row>
    <row r="47" spans="1:15" x14ac:dyDescent="0.15">
      <c r="E47" s="1">
        <v>10</v>
      </c>
      <c r="G47" s="1">
        <f t="shared" si="6"/>
        <v>20</v>
      </c>
    </row>
    <row r="48" spans="1:15" x14ac:dyDescent="0.15">
      <c r="E48" s="1">
        <v>11</v>
      </c>
      <c r="G48" s="1">
        <f t="shared" si="6"/>
        <v>22</v>
      </c>
    </row>
    <row r="49" spans="5:7" x14ac:dyDescent="0.15">
      <c r="E49" s="1">
        <v>12</v>
      </c>
      <c r="G49" s="1">
        <f t="shared" si="6"/>
        <v>24</v>
      </c>
    </row>
    <row r="50" spans="5:7" x14ac:dyDescent="0.15">
      <c r="E50" s="1">
        <v>13</v>
      </c>
      <c r="G50" s="1">
        <f t="shared" si="6"/>
        <v>26</v>
      </c>
    </row>
    <row r="51" spans="5:7" x14ac:dyDescent="0.15">
      <c r="E51" s="1">
        <v>14</v>
      </c>
      <c r="G51" s="1">
        <f t="shared" si="6"/>
        <v>28</v>
      </c>
    </row>
    <row r="52" spans="5:7" x14ac:dyDescent="0.15">
      <c r="E52" s="1">
        <v>15</v>
      </c>
      <c r="G52" s="1">
        <f t="shared" si="6"/>
        <v>30</v>
      </c>
    </row>
    <row r="53" spans="5:7" x14ac:dyDescent="0.15">
      <c r="E53" s="1">
        <v>16</v>
      </c>
      <c r="G53" s="1">
        <f t="shared" si="6"/>
        <v>32</v>
      </c>
    </row>
    <row r="54" spans="5:7" x14ac:dyDescent="0.15">
      <c r="E54" s="1">
        <v>17</v>
      </c>
      <c r="G54" s="1">
        <f t="shared" si="6"/>
        <v>34</v>
      </c>
    </row>
    <row r="55" spans="5:7" x14ac:dyDescent="0.15">
      <c r="E55" s="1">
        <v>18</v>
      </c>
      <c r="G55" s="1">
        <f t="shared" si="6"/>
        <v>36</v>
      </c>
    </row>
    <row r="56" spans="5:7" x14ac:dyDescent="0.15">
      <c r="E56" s="1">
        <v>19</v>
      </c>
      <c r="G56" s="1">
        <f t="shared" si="6"/>
        <v>38</v>
      </c>
    </row>
    <row r="57" spans="5:7" x14ac:dyDescent="0.15">
      <c r="E57" s="1">
        <v>20</v>
      </c>
      <c r="G57" s="1">
        <f t="shared" si="6"/>
        <v>40</v>
      </c>
    </row>
    <row r="58" spans="5:7" x14ac:dyDescent="0.15">
      <c r="E58" s="1">
        <v>21</v>
      </c>
      <c r="G58" s="1">
        <f t="shared" si="6"/>
        <v>42</v>
      </c>
    </row>
    <row r="59" spans="5:7" x14ac:dyDescent="0.15">
      <c r="E59" s="1">
        <v>22</v>
      </c>
      <c r="G59" s="1">
        <f t="shared" si="6"/>
        <v>44</v>
      </c>
    </row>
    <row r="60" spans="5:7" x14ac:dyDescent="0.15">
      <c r="E60" s="1">
        <v>23</v>
      </c>
      <c r="G60" s="1">
        <f t="shared" si="6"/>
        <v>46</v>
      </c>
    </row>
    <row r="61" spans="5:7" x14ac:dyDescent="0.15">
      <c r="E61" s="1">
        <v>24</v>
      </c>
      <c r="G61" s="1">
        <f t="shared" si="6"/>
        <v>48</v>
      </c>
    </row>
    <row r="62" spans="5:7" x14ac:dyDescent="0.15">
      <c r="E62" s="1">
        <v>25</v>
      </c>
      <c r="G62" s="1">
        <f t="shared" si="6"/>
        <v>50</v>
      </c>
    </row>
    <row r="63" spans="5:7" x14ac:dyDescent="0.15">
      <c r="E63" s="1">
        <v>26</v>
      </c>
      <c r="G63" s="1">
        <f t="shared" si="6"/>
        <v>52</v>
      </c>
    </row>
    <row r="64" spans="5:7" x14ac:dyDescent="0.15">
      <c r="E64" s="1">
        <v>27</v>
      </c>
      <c r="G64" s="1">
        <f t="shared" si="6"/>
        <v>54</v>
      </c>
    </row>
    <row r="65" spans="5:7" x14ac:dyDescent="0.15">
      <c r="E65" s="1">
        <v>28</v>
      </c>
      <c r="G65" s="1">
        <f t="shared" si="6"/>
        <v>56</v>
      </c>
    </row>
    <row r="66" spans="5:7" x14ac:dyDescent="0.15">
      <c r="E66" s="1">
        <v>29</v>
      </c>
      <c r="G66" s="1">
        <f t="shared" si="6"/>
        <v>58</v>
      </c>
    </row>
    <row r="67" spans="5:7" x14ac:dyDescent="0.15">
      <c r="E67" s="1">
        <v>30</v>
      </c>
      <c r="G67" s="1">
        <f t="shared" si="6"/>
        <v>60</v>
      </c>
    </row>
    <row r="68" spans="5:7" x14ac:dyDescent="0.15">
      <c r="E68" s="1">
        <v>31</v>
      </c>
      <c r="G68" s="1">
        <f t="shared" si="6"/>
        <v>62</v>
      </c>
    </row>
    <row r="69" spans="5:7" x14ac:dyDescent="0.15">
      <c r="E69" s="1">
        <v>32</v>
      </c>
      <c r="G69" s="1">
        <f t="shared" si="6"/>
        <v>64</v>
      </c>
    </row>
    <row r="70" spans="5:7" x14ac:dyDescent="0.15">
      <c r="E70" s="1">
        <v>33</v>
      </c>
      <c r="G70" s="1">
        <f t="shared" si="6"/>
        <v>66</v>
      </c>
    </row>
    <row r="71" spans="5:7" x14ac:dyDescent="0.15">
      <c r="E71" s="1">
        <v>34</v>
      </c>
      <c r="G71" s="1">
        <f t="shared" si="6"/>
        <v>68</v>
      </c>
    </row>
    <row r="72" spans="5:7" x14ac:dyDescent="0.15">
      <c r="E72" s="1">
        <v>35</v>
      </c>
      <c r="G72" s="1">
        <f t="shared" si="6"/>
        <v>70</v>
      </c>
    </row>
    <row r="73" spans="5:7" x14ac:dyDescent="0.15">
      <c r="E73" s="1">
        <v>36</v>
      </c>
      <c r="G73" s="1">
        <f>E73*$X$3</f>
        <v>72</v>
      </c>
    </row>
    <row r="74" spans="5:7" x14ac:dyDescent="0.15">
      <c r="E74" s="1">
        <v>37</v>
      </c>
      <c r="G74" s="1">
        <f t="shared" si="6"/>
        <v>74</v>
      </c>
    </row>
    <row r="75" spans="5:7" x14ac:dyDescent="0.15">
      <c r="E75" s="1">
        <v>38</v>
      </c>
      <c r="G75" s="1">
        <f t="shared" si="6"/>
        <v>76</v>
      </c>
    </row>
    <row r="76" spans="5:7" x14ac:dyDescent="0.15">
      <c r="E76" s="1">
        <v>39</v>
      </c>
      <c r="G76" s="1">
        <f t="shared" si="6"/>
        <v>78</v>
      </c>
    </row>
    <row r="77" spans="5:7" x14ac:dyDescent="0.15">
      <c r="E77" s="1">
        <v>40</v>
      </c>
      <c r="G77" s="1">
        <f t="shared" si="6"/>
        <v>80</v>
      </c>
    </row>
    <row r="78" spans="5:7" x14ac:dyDescent="0.15">
      <c r="E78" s="1">
        <v>41</v>
      </c>
      <c r="G78" s="1">
        <f t="shared" si="6"/>
        <v>82</v>
      </c>
    </row>
    <row r="79" spans="5:7" x14ac:dyDescent="0.15">
      <c r="E79" s="1">
        <v>42</v>
      </c>
      <c r="G79" s="1">
        <f t="shared" si="6"/>
        <v>84</v>
      </c>
    </row>
    <row r="80" spans="5:7" x14ac:dyDescent="0.15">
      <c r="E80" s="1">
        <v>43</v>
      </c>
      <c r="G80" s="1">
        <f t="shared" si="6"/>
        <v>86</v>
      </c>
    </row>
    <row r="81" spans="5:7" x14ac:dyDescent="0.15">
      <c r="E81" s="1">
        <v>44</v>
      </c>
      <c r="G81" s="1">
        <f t="shared" si="6"/>
        <v>88</v>
      </c>
    </row>
    <row r="82" spans="5:7" x14ac:dyDescent="0.15">
      <c r="E82" s="1">
        <v>45</v>
      </c>
      <c r="G82" s="1">
        <f t="shared" si="6"/>
        <v>90</v>
      </c>
    </row>
    <row r="83" spans="5:7" x14ac:dyDescent="0.15">
      <c r="E83" s="1">
        <v>46</v>
      </c>
      <c r="G83" s="1">
        <f t="shared" si="6"/>
        <v>92</v>
      </c>
    </row>
    <row r="84" spans="5:7" x14ac:dyDescent="0.15">
      <c r="E84" s="1">
        <v>47</v>
      </c>
      <c r="G84" s="1">
        <f t="shared" si="6"/>
        <v>94</v>
      </c>
    </row>
    <row r="85" spans="5:7" x14ac:dyDescent="0.15">
      <c r="E85" s="1">
        <v>48</v>
      </c>
      <c r="G85" s="1">
        <f t="shared" si="6"/>
        <v>96</v>
      </c>
    </row>
    <row r="86" spans="5:7" x14ac:dyDescent="0.15">
      <c r="E86" s="1">
        <v>49</v>
      </c>
      <c r="G86" s="1">
        <f t="shared" si="6"/>
        <v>98</v>
      </c>
    </row>
    <row r="87" spans="5:7" x14ac:dyDescent="0.15">
      <c r="E87" s="1">
        <v>50</v>
      </c>
      <c r="G87" s="1">
        <f t="shared" si="6"/>
        <v>100</v>
      </c>
    </row>
    <row r="88" spans="5:7" x14ac:dyDescent="0.15">
      <c r="E88" s="1">
        <v>51</v>
      </c>
      <c r="G88" s="1">
        <f t="shared" si="6"/>
        <v>102</v>
      </c>
    </row>
    <row r="89" spans="5:7" x14ac:dyDescent="0.15">
      <c r="E89" s="1">
        <v>52</v>
      </c>
      <c r="G89" s="1">
        <f t="shared" si="6"/>
        <v>104</v>
      </c>
    </row>
    <row r="90" spans="5:7" x14ac:dyDescent="0.15">
      <c r="E90" s="1">
        <v>53</v>
      </c>
      <c r="G90" s="1">
        <f t="shared" si="6"/>
        <v>106</v>
      </c>
    </row>
    <row r="91" spans="5:7" x14ac:dyDescent="0.15">
      <c r="E91" s="1">
        <v>54</v>
      </c>
      <c r="G91" s="1">
        <f>E91*$X$3</f>
        <v>108</v>
      </c>
    </row>
    <row r="92" spans="5:7" x14ac:dyDescent="0.15">
      <c r="E92" s="1">
        <v>55</v>
      </c>
      <c r="G92" s="1">
        <f t="shared" si="6"/>
        <v>110</v>
      </c>
    </row>
    <row r="93" spans="5:7" x14ac:dyDescent="0.15">
      <c r="E93" s="1">
        <v>56</v>
      </c>
      <c r="G93" s="1">
        <f t="shared" si="6"/>
        <v>112</v>
      </c>
    </row>
    <row r="94" spans="5:7" x14ac:dyDescent="0.15">
      <c r="E94" s="1">
        <v>57</v>
      </c>
      <c r="G94" s="1">
        <f t="shared" si="6"/>
        <v>114</v>
      </c>
    </row>
    <row r="95" spans="5:7" x14ac:dyDescent="0.15">
      <c r="E95" s="1">
        <v>58</v>
      </c>
      <c r="G95" s="1">
        <f t="shared" si="6"/>
        <v>116</v>
      </c>
    </row>
    <row r="96" spans="5:7" x14ac:dyDescent="0.15">
      <c r="E96" s="1">
        <v>59</v>
      </c>
      <c r="G96" s="1">
        <f t="shared" si="6"/>
        <v>118</v>
      </c>
    </row>
    <row r="97" spans="5:7" x14ac:dyDescent="0.15">
      <c r="E97" s="1">
        <v>60</v>
      </c>
      <c r="G97" s="1">
        <f t="shared" si="6"/>
        <v>120</v>
      </c>
    </row>
    <row r="98" spans="5:7" x14ac:dyDescent="0.15">
      <c r="E98" s="1">
        <v>61</v>
      </c>
      <c r="G98" s="1">
        <f t="shared" si="6"/>
        <v>122</v>
      </c>
    </row>
    <row r="99" spans="5:7" x14ac:dyDescent="0.15">
      <c r="E99" s="1">
        <v>62</v>
      </c>
      <c r="G99" s="1">
        <f t="shared" si="6"/>
        <v>124</v>
      </c>
    </row>
    <row r="100" spans="5:7" x14ac:dyDescent="0.15">
      <c r="E100" s="1">
        <v>63</v>
      </c>
      <c r="G100" s="1">
        <f t="shared" si="6"/>
        <v>126</v>
      </c>
    </row>
    <row r="101" spans="5:7" x14ac:dyDescent="0.15">
      <c r="E101" s="1">
        <v>64</v>
      </c>
      <c r="G101" s="1">
        <f t="shared" si="6"/>
        <v>128</v>
      </c>
    </row>
    <row r="102" spans="5:7" x14ac:dyDescent="0.15">
      <c r="E102" s="1">
        <v>65</v>
      </c>
      <c r="G102" s="1">
        <f t="shared" si="6"/>
        <v>130</v>
      </c>
    </row>
    <row r="103" spans="5:7" x14ac:dyDescent="0.15">
      <c r="E103" s="1">
        <v>66</v>
      </c>
      <c r="G103" s="1">
        <f t="shared" ref="G103:G105" si="7">E103*$X$3</f>
        <v>132</v>
      </c>
    </row>
    <row r="104" spans="5:7" x14ac:dyDescent="0.15">
      <c r="E104" s="1">
        <v>67</v>
      </c>
      <c r="G104" s="1">
        <f t="shared" si="7"/>
        <v>134</v>
      </c>
    </row>
    <row r="105" spans="5:7" x14ac:dyDescent="0.15">
      <c r="E105" s="1">
        <v>68</v>
      </c>
      <c r="G105" s="1">
        <f t="shared" si="7"/>
        <v>136</v>
      </c>
    </row>
    <row r="106" spans="5:7" x14ac:dyDescent="0.15">
      <c r="E106" s="1">
        <v>69</v>
      </c>
      <c r="G106" s="1">
        <f>E106*$X$3</f>
        <v>138</v>
      </c>
    </row>
    <row r="107" spans="5:7" x14ac:dyDescent="0.15">
      <c r="E107" s="1">
        <v>70</v>
      </c>
      <c r="G107" s="1">
        <f t="shared" ref="G107:G117" si="8">E107*$X$3</f>
        <v>140</v>
      </c>
    </row>
    <row r="108" spans="5:7" x14ac:dyDescent="0.15">
      <c r="E108" s="1">
        <v>71</v>
      </c>
      <c r="G108" s="1">
        <f t="shared" si="8"/>
        <v>142</v>
      </c>
    </row>
    <row r="109" spans="5:7" x14ac:dyDescent="0.15">
      <c r="E109" s="1">
        <v>72</v>
      </c>
      <c r="G109" s="1">
        <f t="shared" si="8"/>
        <v>144</v>
      </c>
    </row>
    <row r="110" spans="5:7" x14ac:dyDescent="0.15">
      <c r="E110" s="1">
        <v>73</v>
      </c>
      <c r="G110" s="1">
        <f t="shared" si="8"/>
        <v>146</v>
      </c>
    </row>
    <row r="111" spans="5:7" x14ac:dyDescent="0.15">
      <c r="E111" s="1">
        <v>74</v>
      </c>
      <c r="G111" s="1">
        <f t="shared" si="8"/>
        <v>148</v>
      </c>
    </row>
    <row r="112" spans="5:7" x14ac:dyDescent="0.15">
      <c r="E112" s="1">
        <v>75</v>
      </c>
      <c r="G112" s="1">
        <f t="shared" si="8"/>
        <v>150</v>
      </c>
    </row>
    <row r="113" spans="5:7" x14ac:dyDescent="0.15">
      <c r="E113" s="1">
        <v>76</v>
      </c>
      <c r="G113" s="1">
        <f t="shared" si="8"/>
        <v>152</v>
      </c>
    </row>
    <row r="114" spans="5:7" x14ac:dyDescent="0.15">
      <c r="E114" s="1">
        <v>77</v>
      </c>
      <c r="G114" s="1">
        <f t="shared" si="8"/>
        <v>154</v>
      </c>
    </row>
    <row r="115" spans="5:7" x14ac:dyDescent="0.15">
      <c r="E115" s="1">
        <v>78</v>
      </c>
      <c r="G115" s="1">
        <f t="shared" si="8"/>
        <v>156</v>
      </c>
    </row>
    <row r="116" spans="5:7" x14ac:dyDescent="0.15">
      <c r="E116" s="1">
        <v>79</v>
      </c>
      <c r="G116" s="1">
        <f t="shared" si="8"/>
        <v>158</v>
      </c>
    </row>
    <row r="117" spans="5:7" x14ac:dyDescent="0.15">
      <c r="E117" s="1">
        <v>80</v>
      </c>
      <c r="G117" s="1">
        <f t="shared" si="8"/>
        <v>160</v>
      </c>
    </row>
    <row r="118" spans="5:7" x14ac:dyDescent="0.15">
      <c r="E118" s="1">
        <v>81</v>
      </c>
      <c r="G118" s="1">
        <f>E118*$X$3</f>
        <v>162</v>
      </c>
    </row>
    <row r="119" spans="5:7" x14ac:dyDescent="0.15">
      <c r="E119" s="1">
        <v>82</v>
      </c>
      <c r="G119" s="1">
        <f t="shared" ref="G119:G136" si="9">E119*$X$3</f>
        <v>164</v>
      </c>
    </row>
    <row r="120" spans="5:7" x14ac:dyDescent="0.15">
      <c r="E120" s="1">
        <v>83</v>
      </c>
      <c r="G120" s="1">
        <f t="shared" si="9"/>
        <v>166</v>
      </c>
    </row>
    <row r="121" spans="5:7" x14ac:dyDescent="0.15">
      <c r="E121" s="1">
        <v>84</v>
      </c>
      <c r="G121" s="1">
        <f t="shared" si="9"/>
        <v>168</v>
      </c>
    </row>
    <row r="122" spans="5:7" x14ac:dyDescent="0.15">
      <c r="E122" s="1">
        <v>85</v>
      </c>
      <c r="G122" s="1">
        <f t="shared" si="9"/>
        <v>170</v>
      </c>
    </row>
    <row r="123" spans="5:7" x14ac:dyDescent="0.15">
      <c r="E123" s="1">
        <v>86</v>
      </c>
      <c r="G123" s="1">
        <f t="shared" si="9"/>
        <v>172</v>
      </c>
    </row>
    <row r="124" spans="5:7" x14ac:dyDescent="0.15">
      <c r="E124" s="1">
        <v>87</v>
      </c>
      <c r="G124" s="1">
        <f t="shared" si="9"/>
        <v>174</v>
      </c>
    </row>
    <row r="125" spans="5:7" x14ac:dyDescent="0.15">
      <c r="E125" s="1">
        <v>88</v>
      </c>
      <c r="G125" s="1">
        <f t="shared" si="9"/>
        <v>176</v>
      </c>
    </row>
    <row r="126" spans="5:7" x14ac:dyDescent="0.15">
      <c r="E126" s="1">
        <v>89</v>
      </c>
      <c r="G126" s="1">
        <f t="shared" si="9"/>
        <v>178</v>
      </c>
    </row>
    <row r="127" spans="5:7" x14ac:dyDescent="0.15">
      <c r="E127" s="1">
        <v>90</v>
      </c>
      <c r="G127" s="1">
        <f t="shared" si="9"/>
        <v>180</v>
      </c>
    </row>
    <row r="128" spans="5:7" x14ac:dyDescent="0.15">
      <c r="E128" s="1">
        <v>91</v>
      </c>
      <c r="G128" s="1">
        <f t="shared" si="9"/>
        <v>182</v>
      </c>
    </row>
    <row r="129" spans="5:7" x14ac:dyDescent="0.15">
      <c r="E129" s="1">
        <v>92</v>
      </c>
      <c r="G129" s="1">
        <f t="shared" si="9"/>
        <v>184</v>
      </c>
    </row>
    <row r="130" spans="5:7" x14ac:dyDescent="0.15">
      <c r="E130" s="1">
        <v>93</v>
      </c>
      <c r="G130" s="1">
        <f t="shared" si="9"/>
        <v>186</v>
      </c>
    </row>
    <row r="131" spans="5:7" x14ac:dyDescent="0.15">
      <c r="E131" s="1">
        <v>94</v>
      </c>
      <c r="G131" s="1">
        <f t="shared" si="9"/>
        <v>188</v>
      </c>
    </row>
    <row r="132" spans="5:7" x14ac:dyDescent="0.15">
      <c r="E132" s="1">
        <v>95</v>
      </c>
      <c r="G132" s="1">
        <f t="shared" si="9"/>
        <v>190</v>
      </c>
    </row>
    <row r="133" spans="5:7" x14ac:dyDescent="0.15">
      <c r="E133" s="1">
        <v>96</v>
      </c>
      <c r="G133" s="1">
        <f t="shared" si="9"/>
        <v>192</v>
      </c>
    </row>
    <row r="134" spans="5:7" x14ac:dyDescent="0.15">
      <c r="E134" s="1">
        <v>97</v>
      </c>
      <c r="G134" s="1">
        <f t="shared" si="9"/>
        <v>194</v>
      </c>
    </row>
    <row r="135" spans="5:7" x14ac:dyDescent="0.15">
      <c r="E135" s="1">
        <v>98</v>
      </c>
      <c r="G135" s="1">
        <f t="shared" si="9"/>
        <v>196</v>
      </c>
    </row>
    <row r="136" spans="5:7" x14ac:dyDescent="0.15">
      <c r="E136" s="1">
        <v>99</v>
      </c>
      <c r="G136" s="1">
        <f t="shared" si="9"/>
        <v>198</v>
      </c>
    </row>
    <row r="137" spans="5:7" x14ac:dyDescent="0.15">
      <c r="E137" s="1" t="s">
        <v>299</v>
      </c>
      <c r="G137" s="1">
        <f>SUM(G38:G136)</f>
        <v>9900</v>
      </c>
    </row>
  </sheetData>
  <sortState ref="AA1:AA136">
    <sortCondition ref="AA1"/>
  </sortState>
  <mergeCells count="5">
    <mergeCell ref="A31:K31"/>
    <mergeCell ref="A32:K32"/>
    <mergeCell ref="A33:K33"/>
    <mergeCell ref="A34:K34"/>
    <mergeCell ref="A35:K35"/>
  </mergeCells>
  <phoneticPr fontId="9" type="noConversion"/>
  <dataValidations count="1">
    <dataValidation type="list" allowBlank="1" showInputMessage="1" showErrorMessage="1" sqref="H3:H27">
      <formula1>$V$3:$V$7</formula1>
    </dataValidation>
  </dataValidations>
  <pageMargins left="0.69930555555555596" right="0.69930555555555596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1"/>
  <sheetViews>
    <sheetView workbookViewId="0">
      <selection activeCell="F13" sqref="F13"/>
    </sheetView>
  </sheetViews>
  <sheetFormatPr defaultColWidth="9" defaultRowHeight="11.25" x14ac:dyDescent="0.15"/>
  <cols>
    <col min="1" max="1" width="10.75" style="1" customWidth="1"/>
    <col min="2" max="2" width="15.375" style="4" customWidth="1"/>
    <col min="3" max="3" width="16.375" style="6" customWidth="1"/>
    <col min="4" max="4" width="11.25" style="3" customWidth="1"/>
    <col min="5" max="5" width="9" style="3"/>
    <col min="6" max="7" width="9" style="1"/>
    <col min="8" max="8" width="11.375" style="4" customWidth="1"/>
    <col min="9" max="16384" width="9" style="1"/>
  </cols>
  <sheetData>
    <row r="1" spans="1:10" x14ac:dyDescent="0.15">
      <c r="A1" s="1" t="s">
        <v>21</v>
      </c>
      <c r="B1" s="4" t="s">
        <v>300</v>
      </c>
      <c r="C1" s="6" t="s">
        <v>301</v>
      </c>
      <c r="D1" s="3" t="s">
        <v>302</v>
      </c>
      <c r="E1" s="3" t="s">
        <v>303</v>
      </c>
      <c r="F1" s="4"/>
      <c r="G1" s="1" t="s">
        <v>26</v>
      </c>
      <c r="H1" s="20" t="s">
        <v>792</v>
      </c>
      <c r="I1" s="1" t="s">
        <v>304</v>
      </c>
      <c r="J1" s="18" t="s">
        <v>793</v>
      </c>
    </row>
    <row r="2" spans="1:10" s="5" customFormat="1" x14ac:dyDescent="0.15">
      <c r="A2" s="5" t="s">
        <v>23</v>
      </c>
      <c r="B2" s="7" t="s">
        <v>305</v>
      </c>
      <c r="C2" s="8" t="s">
        <v>306</v>
      </c>
      <c r="D2" s="9" t="s">
        <v>307</v>
      </c>
      <c r="E2" s="9" t="s">
        <v>308</v>
      </c>
      <c r="F2" s="7"/>
      <c r="H2" s="7" t="s">
        <v>309</v>
      </c>
      <c r="I2" s="5" t="s">
        <v>310</v>
      </c>
      <c r="J2" s="5" t="s">
        <v>311</v>
      </c>
    </row>
    <row r="3" spans="1:10" x14ac:dyDescent="0.15">
      <c r="A3" s="1">
        <v>1001</v>
      </c>
      <c r="B3" s="20" t="s">
        <v>803</v>
      </c>
      <c r="C3" s="25" t="s">
        <v>802</v>
      </c>
      <c r="D3" s="3">
        <v>0</v>
      </c>
      <c r="E3" s="3">
        <v>0</v>
      </c>
      <c r="F3" s="4"/>
      <c r="H3" s="6">
        <v>10</v>
      </c>
      <c r="I3" s="1">
        <v>1</v>
      </c>
      <c r="J3" s="1">
        <v>10</v>
      </c>
    </row>
    <row r="4" spans="1:10" x14ac:dyDescent="0.15">
      <c r="A4" s="1">
        <v>1002</v>
      </c>
      <c r="B4" s="20" t="s">
        <v>804</v>
      </c>
      <c r="C4" s="25" t="s">
        <v>812</v>
      </c>
      <c r="D4" s="3">
        <v>1001</v>
      </c>
      <c r="E4" s="3">
        <v>0</v>
      </c>
      <c r="F4" s="4"/>
      <c r="H4" s="6">
        <v>10</v>
      </c>
      <c r="I4" s="1">
        <v>1</v>
      </c>
      <c r="J4" s="1">
        <v>10</v>
      </c>
    </row>
    <row r="5" spans="1:10" x14ac:dyDescent="0.15">
      <c r="A5" s="1">
        <v>1003</v>
      </c>
      <c r="B5" s="20" t="s">
        <v>805</v>
      </c>
      <c r="C5" s="25" t="s">
        <v>811</v>
      </c>
      <c r="D5" s="3">
        <v>1002</v>
      </c>
      <c r="E5" s="3">
        <v>0</v>
      </c>
      <c r="F5" s="4"/>
      <c r="H5" s="6">
        <v>10</v>
      </c>
      <c r="I5" s="1">
        <v>1</v>
      </c>
      <c r="J5" s="1">
        <v>10</v>
      </c>
    </row>
    <row r="6" spans="1:10" x14ac:dyDescent="0.15">
      <c r="A6" s="1">
        <v>1011</v>
      </c>
      <c r="B6" s="20" t="s">
        <v>806</v>
      </c>
      <c r="C6" s="25" t="s">
        <v>811</v>
      </c>
      <c r="D6" s="3">
        <v>0</v>
      </c>
      <c r="E6" s="3">
        <v>0</v>
      </c>
      <c r="F6" s="4"/>
      <c r="H6" s="6">
        <v>10</v>
      </c>
      <c r="I6" s="1">
        <v>1</v>
      </c>
      <c r="J6" s="1">
        <v>10</v>
      </c>
    </row>
    <row r="7" spans="1:10" x14ac:dyDescent="0.15">
      <c r="A7" s="1">
        <v>1021</v>
      </c>
      <c r="B7" s="20" t="s">
        <v>807</v>
      </c>
      <c r="C7" s="25" t="s">
        <v>811</v>
      </c>
      <c r="D7" s="3">
        <v>0</v>
      </c>
      <c r="E7" s="3">
        <v>0</v>
      </c>
      <c r="F7" s="4"/>
      <c r="H7" s="6">
        <v>10</v>
      </c>
      <c r="I7" s="1">
        <v>1</v>
      </c>
      <c r="J7" s="1">
        <v>10</v>
      </c>
    </row>
    <row r="8" spans="1:10" x14ac:dyDescent="0.15">
      <c r="A8" s="1">
        <v>1022</v>
      </c>
      <c r="B8" s="20" t="s">
        <v>808</v>
      </c>
      <c r="C8" s="25" t="s">
        <v>811</v>
      </c>
      <c r="D8" s="3">
        <v>0</v>
      </c>
      <c r="E8" s="3">
        <v>0</v>
      </c>
      <c r="F8" s="4"/>
      <c r="H8" s="6">
        <v>10</v>
      </c>
      <c r="I8" s="1">
        <v>1</v>
      </c>
      <c r="J8" s="1">
        <v>10</v>
      </c>
    </row>
    <row r="9" spans="1:10" x14ac:dyDescent="0.15">
      <c r="A9" s="1">
        <v>1023</v>
      </c>
      <c r="B9" s="20" t="s">
        <v>809</v>
      </c>
      <c r="C9" s="25" t="s">
        <v>811</v>
      </c>
      <c r="D9" s="3">
        <v>1022</v>
      </c>
      <c r="E9" s="3">
        <v>0</v>
      </c>
      <c r="F9" s="4"/>
      <c r="H9" s="6">
        <v>10</v>
      </c>
      <c r="I9" s="1">
        <v>1</v>
      </c>
      <c r="J9" s="1">
        <v>10</v>
      </c>
    </row>
    <row r="10" spans="1:10" x14ac:dyDescent="0.15">
      <c r="A10" s="1">
        <v>1024</v>
      </c>
      <c r="B10" s="20" t="s">
        <v>810</v>
      </c>
      <c r="C10" s="25" t="s">
        <v>811</v>
      </c>
      <c r="D10" s="3">
        <v>1023</v>
      </c>
      <c r="E10" s="3">
        <v>0</v>
      </c>
      <c r="F10" s="4"/>
      <c r="H10" s="6">
        <v>10</v>
      </c>
      <c r="I10" s="1">
        <v>1</v>
      </c>
      <c r="J10" s="1">
        <v>10</v>
      </c>
    </row>
    <row r="11" spans="1:10" x14ac:dyDescent="0.15">
      <c r="A11" s="1">
        <v>1025</v>
      </c>
      <c r="B11" s="20" t="s">
        <v>813</v>
      </c>
      <c r="C11" s="25" t="s">
        <v>811</v>
      </c>
      <c r="D11" s="3">
        <v>1024</v>
      </c>
      <c r="E11" s="3">
        <v>0</v>
      </c>
      <c r="F11" s="4"/>
      <c r="H11" s="6">
        <v>10</v>
      </c>
      <c r="I11" s="1">
        <v>1</v>
      </c>
      <c r="J11" s="1">
        <v>10</v>
      </c>
    </row>
    <row r="12" spans="1:10" x14ac:dyDescent="0.15">
      <c r="A12" s="1">
        <v>2001</v>
      </c>
      <c r="B12" s="4" t="s">
        <v>795</v>
      </c>
      <c r="C12" s="25" t="s">
        <v>802</v>
      </c>
      <c r="D12" s="3">
        <v>0</v>
      </c>
      <c r="E12" s="3">
        <v>0</v>
      </c>
      <c r="F12" s="4"/>
      <c r="H12" s="6">
        <v>10</v>
      </c>
      <c r="I12" s="1">
        <v>1</v>
      </c>
      <c r="J12" s="1">
        <v>10</v>
      </c>
    </row>
    <row r="13" spans="1:10" x14ac:dyDescent="0.15">
      <c r="A13" s="1">
        <v>2002</v>
      </c>
      <c r="B13" s="26" t="s">
        <v>794</v>
      </c>
      <c r="C13" s="25" t="s">
        <v>802</v>
      </c>
      <c r="D13" s="3">
        <v>0</v>
      </c>
      <c r="E13" s="3">
        <v>0</v>
      </c>
      <c r="F13" s="4"/>
      <c r="H13" s="6">
        <v>10</v>
      </c>
      <c r="I13" s="1">
        <v>1</v>
      </c>
      <c r="J13" s="1">
        <v>10</v>
      </c>
    </row>
    <row r="14" spans="1:10" x14ac:dyDescent="0.15">
      <c r="A14" s="1">
        <v>2003</v>
      </c>
      <c r="B14" s="26" t="s">
        <v>796</v>
      </c>
      <c r="C14" s="25" t="s">
        <v>802</v>
      </c>
      <c r="D14" s="3">
        <v>0</v>
      </c>
      <c r="E14" s="3">
        <v>0</v>
      </c>
      <c r="F14" s="4"/>
      <c r="H14" s="6">
        <v>10</v>
      </c>
      <c r="I14" s="1">
        <v>1</v>
      </c>
      <c r="J14" s="1">
        <v>10</v>
      </c>
    </row>
    <row r="15" spans="1:10" x14ac:dyDescent="0.15">
      <c r="A15" s="1">
        <v>2004</v>
      </c>
      <c r="B15" s="26" t="s">
        <v>797</v>
      </c>
      <c r="C15" s="25" t="s">
        <v>802</v>
      </c>
      <c r="D15" s="3">
        <v>0</v>
      </c>
      <c r="E15" s="3">
        <v>0</v>
      </c>
      <c r="F15" s="4"/>
      <c r="H15" s="6">
        <v>10</v>
      </c>
      <c r="I15" s="1">
        <v>1</v>
      </c>
      <c r="J15" s="1">
        <v>10</v>
      </c>
    </row>
    <row r="16" spans="1:10" x14ac:dyDescent="0.15">
      <c r="A16" s="1">
        <v>2005</v>
      </c>
      <c r="B16" s="26" t="s">
        <v>798</v>
      </c>
      <c r="C16" s="25" t="s">
        <v>802</v>
      </c>
      <c r="D16" s="3">
        <v>0</v>
      </c>
      <c r="E16" s="3">
        <v>0</v>
      </c>
      <c r="F16" s="4"/>
      <c r="H16" s="6">
        <v>10</v>
      </c>
      <c r="I16" s="1">
        <v>1</v>
      </c>
      <c r="J16" s="1">
        <v>10</v>
      </c>
    </row>
    <row r="17" spans="1:10" x14ac:dyDescent="0.15">
      <c r="A17" s="1">
        <v>2006</v>
      </c>
      <c r="B17" s="26" t="s">
        <v>799</v>
      </c>
      <c r="C17" s="25" t="s">
        <v>802</v>
      </c>
      <c r="D17" s="3">
        <v>0</v>
      </c>
      <c r="E17" s="3">
        <v>0</v>
      </c>
      <c r="F17" s="4"/>
      <c r="H17" s="6">
        <v>10</v>
      </c>
      <c r="I17" s="1">
        <v>1</v>
      </c>
      <c r="J17" s="1">
        <v>10</v>
      </c>
    </row>
    <row r="18" spans="1:10" x14ac:dyDescent="0.15">
      <c r="A18" s="1">
        <v>2007</v>
      </c>
      <c r="B18" s="26" t="s">
        <v>800</v>
      </c>
      <c r="C18" s="25" t="s">
        <v>802</v>
      </c>
      <c r="D18" s="3">
        <v>0</v>
      </c>
      <c r="E18" s="3">
        <v>0</v>
      </c>
      <c r="F18" s="4"/>
      <c r="H18" s="6">
        <v>10</v>
      </c>
      <c r="I18" s="1">
        <v>1</v>
      </c>
      <c r="J18" s="1">
        <v>10</v>
      </c>
    </row>
    <row r="19" spans="1:10" x14ac:dyDescent="0.15">
      <c r="A19" s="1">
        <v>2101</v>
      </c>
      <c r="B19" s="26" t="s">
        <v>801</v>
      </c>
      <c r="C19" s="25" t="s">
        <v>802</v>
      </c>
      <c r="D19" s="3">
        <v>0</v>
      </c>
      <c r="E19" s="3">
        <v>0</v>
      </c>
      <c r="F19" s="4"/>
      <c r="H19" s="6">
        <v>10</v>
      </c>
      <c r="I19" s="1">
        <v>1</v>
      </c>
      <c r="J19" s="1">
        <v>10</v>
      </c>
    </row>
    <row r="20" spans="1:10" x14ac:dyDescent="0.15">
      <c r="A20" s="1">
        <v>3001</v>
      </c>
      <c r="B20" s="4" t="s">
        <v>312</v>
      </c>
      <c r="C20" s="25" t="s">
        <v>802</v>
      </c>
      <c r="D20" s="3">
        <v>0</v>
      </c>
      <c r="E20" s="3">
        <v>0</v>
      </c>
      <c r="F20" s="4"/>
      <c r="H20" s="6">
        <v>10</v>
      </c>
      <c r="I20" s="1">
        <v>1</v>
      </c>
      <c r="J20" s="1">
        <v>10</v>
      </c>
    </row>
    <row r="21" spans="1:10" x14ac:dyDescent="0.15">
      <c r="H21" s="6"/>
      <c r="J21" s="5">
        <f>SUM(J3:J20)</f>
        <v>180</v>
      </c>
    </row>
  </sheetData>
  <phoneticPr fontId="9" type="noConversion"/>
  <pageMargins left="0.69930555555555596" right="0.69930555555555596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6"/>
  <sheetViews>
    <sheetView workbookViewId="0">
      <selection activeCell="A3" sqref="A3"/>
    </sheetView>
  </sheetViews>
  <sheetFormatPr defaultColWidth="9" defaultRowHeight="11.25" x14ac:dyDescent="0.15"/>
  <cols>
    <col min="1" max="1" width="9" style="1"/>
    <col min="2" max="2" width="11" style="1" customWidth="1"/>
    <col min="3" max="3" width="10.375" style="1" customWidth="1"/>
    <col min="4" max="5" width="9" style="1"/>
    <col min="6" max="6" width="9.375" style="1" customWidth="1"/>
    <col min="7" max="16384" width="9" style="1"/>
  </cols>
  <sheetData>
    <row r="1" spans="1:5" x14ac:dyDescent="0.15">
      <c r="A1" s="1" t="s">
        <v>21</v>
      </c>
      <c r="B1" s="1" t="s">
        <v>313</v>
      </c>
      <c r="C1" s="1" t="s">
        <v>314</v>
      </c>
      <c r="D1" s="1" t="s">
        <v>315</v>
      </c>
      <c r="E1" s="1" t="s">
        <v>316</v>
      </c>
    </row>
    <row r="2" spans="1:5" x14ac:dyDescent="0.15">
      <c r="A2" s="1" t="s">
        <v>23</v>
      </c>
      <c r="B2" s="1" t="s">
        <v>317</v>
      </c>
      <c r="C2" s="1" t="s">
        <v>318</v>
      </c>
      <c r="D2" s="1" t="s">
        <v>310</v>
      </c>
      <c r="E2" s="1" t="s">
        <v>319</v>
      </c>
    </row>
    <row r="3" spans="1:5" x14ac:dyDescent="0.15">
      <c r="A3" s="1">
        <v>1</v>
      </c>
      <c r="B3" s="1">
        <v>1</v>
      </c>
      <c r="C3" s="1">
        <v>0</v>
      </c>
      <c r="D3" s="1">
        <v>7</v>
      </c>
      <c r="E3" s="1">
        <v>24</v>
      </c>
    </row>
    <row r="4" spans="1:5" x14ac:dyDescent="0.15">
      <c r="A4" s="1">
        <v>2</v>
      </c>
      <c r="B4" s="1">
        <v>1</v>
      </c>
      <c r="C4" s="1">
        <v>0</v>
      </c>
      <c r="D4" s="1">
        <v>7</v>
      </c>
      <c r="E4" s="1">
        <v>24</v>
      </c>
    </row>
    <row r="5" spans="1:5" x14ac:dyDescent="0.15">
      <c r="A5" s="1">
        <v>4</v>
      </c>
      <c r="B5" s="1">
        <v>1</v>
      </c>
      <c r="C5" s="1">
        <v>0</v>
      </c>
      <c r="D5" s="1">
        <v>7</v>
      </c>
      <c r="E5" s="1">
        <v>24</v>
      </c>
    </row>
    <row r="6" spans="1:5" x14ac:dyDescent="0.15">
      <c r="A6" s="1">
        <v>8</v>
      </c>
      <c r="B6" s="1">
        <v>1</v>
      </c>
      <c r="C6" s="1">
        <v>0</v>
      </c>
      <c r="D6" s="1">
        <v>7</v>
      </c>
      <c r="E6" s="1">
        <v>24</v>
      </c>
    </row>
  </sheetData>
  <phoneticPr fontId="9" type="noConversion"/>
  <pageMargins left="0.69930555555555596" right="0.69930555555555596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2"/>
  <sheetViews>
    <sheetView workbookViewId="0">
      <selection activeCell="E25" activeCellId="1" sqref="D9 E25"/>
    </sheetView>
  </sheetViews>
  <sheetFormatPr defaultColWidth="9" defaultRowHeight="11.25" x14ac:dyDescent="0.15"/>
  <cols>
    <col min="1" max="3" width="9" style="1"/>
    <col min="4" max="4" width="82.125" style="4" customWidth="1"/>
    <col min="5" max="16384" width="9" style="1"/>
  </cols>
  <sheetData>
    <row r="1" spans="1:11" x14ac:dyDescent="0.15">
      <c r="A1" s="1" t="s">
        <v>320</v>
      </c>
      <c r="B1" s="1" t="s">
        <v>321</v>
      </c>
      <c r="C1" s="1" t="s">
        <v>322</v>
      </c>
      <c r="D1" s="4" t="s">
        <v>323</v>
      </c>
      <c r="E1" s="1" t="s">
        <v>324</v>
      </c>
      <c r="F1" s="1" t="s">
        <v>325</v>
      </c>
      <c r="G1" s="1" t="s">
        <v>326</v>
      </c>
      <c r="H1" s="1" t="s">
        <v>327</v>
      </c>
      <c r="I1" s="1" t="s">
        <v>328</v>
      </c>
      <c r="J1" s="1" t="s">
        <v>329</v>
      </c>
      <c r="K1" s="1" t="s">
        <v>41</v>
      </c>
    </row>
    <row r="2" spans="1:11" x14ac:dyDescent="0.15">
      <c r="A2" s="1" t="s">
        <v>23</v>
      </c>
      <c r="B2" s="1" t="s">
        <v>330</v>
      </c>
      <c r="C2" s="1" t="s">
        <v>42</v>
      </c>
      <c r="D2" s="4" t="s">
        <v>331</v>
      </c>
      <c r="E2" s="1" t="s">
        <v>332</v>
      </c>
      <c r="F2" s="1" t="s">
        <v>333</v>
      </c>
      <c r="G2" s="1" t="s">
        <v>310</v>
      </c>
      <c r="H2" s="1" t="s">
        <v>43</v>
      </c>
      <c r="I2" s="1" t="s">
        <v>334</v>
      </c>
      <c r="J2" s="1" t="s">
        <v>27</v>
      </c>
      <c r="K2" s="1" t="s">
        <v>28</v>
      </c>
    </row>
    <row r="3" spans="1:11" x14ac:dyDescent="0.15">
      <c r="A3" s="1">
        <v>1001</v>
      </c>
      <c r="B3" s="1">
        <v>1</v>
      </c>
      <c r="C3" s="1">
        <v>1</v>
      </c>
      <c r="D3" s="4">
        <v>0</v>
      </c>
      <c r="E3" s="1">
        <v>60</v>
      </c>
      <c r="F3" s="1">
        <v>0</v>
      </c>
      <c r="G3" s="1">
        <v>0</v>
      </c>
      <c r="H3" s="1" t="s">
        <v>335</v>
      </c>
      <c r="I3" s="1">
        <v>1</v>
      </c>
      <c r="J3" s="1">
        <v>0</v>
      </c>
      <c r="K3" s="1" t="s">
        <v>335</v>
      </c>
    </row>
    <row r="4" spans="1:11" x14ac:dyDescent="0.15">
      <c r="A4" s="1">
        <v>1002</v>
      </c>
      <c r="B4" s="1">
        <v>1</v>
      </c>
      <c r="C4" s="1">
        <v>2</v>
      </c>
      <c r="D4" s="4">
        <v>0</v>
      </c>
      <c r="E4" s="1">
        <v>7</v>
      </c>
      <c r="F4" s="1">
        <v>0</v>
      </c>
      <c r="G4" s="1">
        <v>0</v>
      </c>
      <c r="H4" s="1" t="s">
        <v>335</v>
      </c>
      <c r="I4" s="1">
        <v>1</v>
      </c>
      <c r="J4" s="1">
        <v>0</v>
      </c>
      <c r="K4" s="1" t="s">
        <v>336</v>
      </c>
    </row>
    <row r="5" spans="1:11" x14ac:dyDescent="0.15">
      <c r="A5" s="1">
        <v>1003</v>
      </c>
      <c r="B5" s="1">
        <v>1</v>
      </c>
      <c r="C5" s="1">
        <v>50000</v>
      </c>
      <c r="D5" s="20" t="s">
        <v>814</v>
      </c>
      <c r="E5" s="1">
        <v>10</v>
      </c>
      <c r="F5" s="1">
        <v>0</v>
      </c>
      <c r="G5" s="1">
        <v>0</v>
      </c>
      <c r="H5" s="1" t="s">
        <v>335</v>
      </c>
      <c r="I5" s="1">
        <v>1</v>
      </c>
      <c r="J5" s="1">
        <v>0</v>
      </c>
      <c r="K5" s="1" t="s">
        <v>337</v>
      </c>
    </row>
    <row r="6" spans="1:11" x14ac:dyDescent="0.15">
      <c r="A6" s="1">
        <v>1004</v>
      </c>
      <c r="B6" s="1">
        <v>1</v>
      </c>
      <c r="C6" s="1">
        <v>50000</v>
      </c>
      <c r="D6" s="4" t="s">
        <v>338</v>
      </c>
      <c r="E6" s="1">
        <v>1</v>
      </c>
      <c r="F6" s="1">
        <v>0</v>
      </c>
      <c r="G6" s="1">
        <v>0</v>
      </c>
      <c r="H6" s="1" t="s">
        <v>339</v>
      </c>
      <c r="I6" s="1">
        <v>1</v>
      </c>
      <c r="J6" s="1">
        <v>0</v>
      </c>
      <c r="K6" s="1" t="s">
        <v>339</v>
      </c>
    </row>
    <row r="7" spans="1:11" x14ac:dyDescent="0.15">
      <c r="A7" s="1">
        <v>1005</v>
      </c>
      <c r="B7" s="1">
        <v>1</v>
      </c>
      <c r="C7" s="1">
        <v>50000</v>
      </c>
      <c r="D7" s="20" t="s">
        <v>815</v>
      </c>
      <c r="E7" s="1">
        <v>1</v>
      </c>
      <c r="F7" s="1">
        <v>0</v>
      </c>
      <c r="G7" s="1">
        <v>9</v>
      </c>
      <c r="H7" s="1" t="s">
        <v>340</v>
      </c>
      <c r="I7" s="1">
        <v>1</v>
      </c>
      <c r="J7" s="1">
        <v>0</v>
      </c>
      <c r="K7" s="1" t="s">
        <v>340</v>
      </c>
    </row>
    <row r="8" spans="1:11" x14ac:dyDescent="0.15">
      <c r="A8" s="1">
        <v>1006</v>
      </c>
      <c r="B8" s="1">
        <v>1</v>
      </c>
      <c r="C8" s="1">
        <v>50000</v>
      </c>
      <c r="D8" s="20" t="s">
        <v>816</v>
      </c>
      <c r="E8" s="1">
        <v>1</v>
      </c>
      <c r="F8" s="1">
        <v>0</v>
      </c>
      <c r="G8" s="1">
        <v>9</v>
      </c>
      <c r="H8" s="1" t="s">
        <v>340</v>
      </c>
      <c r="I8" s="1">
        <v>1</v>
      </c>
      <c r="J8" s="1">
        <v>0</v>
      </c>
      <c r="K8" s="1" t="s">
        <v>340</v>
      </c>
    </row>
    <row r="9" spans="1:11" x14ac:dyDescent="0.15">
      <c r="A9" s="1">
        <v>1007</v>
      </c>
      <c r="B9" s="1">
        <v>1</v>
      </c>
      <c r="C9" s="1">
        <v>50000</v>
      </c>
      <c r="D9" s="20" t="s">
        <v>817</v>
      </c>
      <c r="E9" s="1">
        <v>1</v>
      </c>
      <c r="F9" s="1">
        <v>0</v>
      </c>
      <c r="G9" s="1">
        <v>9</v>
      </c>
      <c r="H9" s="1" t="s">
        <v>340</v>
      </c>
      <c r="I9" s="1">
        <v>1</v>
      </c>
      <c r="J9" s="1">
        <v>0</v>
      </c>
      <c r="K9" s="1" t="s">
        <v>340</v>
      </c>
    </row>
    <row r="10" spans="1:11" x14ac:dyDescent="0.15">
      <c r="A10" s="1">
        <v>2001</v>
      </c>
      <c r="B10" s="1">
        <v>2</v>
      </c>
      <c r="C10" s="1">
        <v>1</v>
      </c>
      <c r="D10" s="4">
        <v>0</v>
      </c>
      <c r="E10" s="1">
        <v>60</v>
      </c>
      <c r="F10" s="1">
        <v>0</v>
      </c>
      <c r="G10" s="1">
        <v>1</v>
      </c>
      <c r="H10" s="1" t="s">
        <v>335</v>
      </c>
      <c r="I10" s="1">
        <v>1</v>
      </c>
      <c r="J10" s="1">
        <v>0</v>
      </c>
      <c r="K10" s="1" t="s">
        <v>335</v>
      </c>
    </row>
    <row r="11" spans="1:11" x14ac:dyDescent="0.15">
      <c r="A11" s="1">
        <v>4001</v>
      </c>
      <c r="B11" s="1">
        <v>4</v>
      </c>
      <c r="C11" s="1">
        <v>1</v>
      </c>
      <c r="D11" s="4">
        <v>0</v>
      </c>
      <c r="E11" s="1">
        <v>60</v>
      </c>
      <c r="F11" s="1">
        <v>0</v>
      </c>
      <c r="G11" s="1">
        <v>1</v>
      </c>
      <c r="H11" s="1" t="s">
        <v>335</v>
      </c>
      <c r="I11" s="1">
        <v>1</v>
      </c>
      <c r="J11" s="1">
        <v>0</v>
      </c>
      <c r="K11" s="1" t="s">
        <v>335</v>
      </c>
    </row>
    <row r="12" spans="1:11" x14ac:dyDescent="0.15">
      <c r="A12" s="1">
        <v>8001</v>
      </c>
      <c r="B12" s="1">
        <v>8</v>
      </c>
      <c r="C12" s="1">
        <v>1</v>
      </c>
      <c r="D12" s="4">
        <v>0</v>
      </c>
      <c r="E12" s="1">
        <v>60</v>
      </c>
      <c r="F12" s="1">
        <v>0</v>
      </c>
      <c r="G12" s="1">
        <v>1</v>
      </c>
      <c r="H12" s="1" t="s">
        <v>335</v>
      </c>
      <c r="I12" s="1">
        <v>1</v>
      </c>
      <c r="J12" s="1">
        <v>0</v>
      </c>
      <c r="K12" s="1" t="s">
        <v>335</v>
      </c>
    </row>
  </sheetData>
  <phoneticPr fontId="9" type="noConversion"/>
  <pageMargins left="0.69930555555555596" right="0.69930555555555596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7"/>
  <sheetViews>
    <sheetView workbookViewId="0">
      <selection activeCell="D33" activeCellId="1" sqref="L16 D33"/>
    </sheetView>
  </sheetViews>
  <sheetFormatPr defaultColWidth="9" defaultRowHeight="11.25" x14ac:dyDescent="0.15"/>
  <cols>
    <col min="1" max="1" width="9" style="1"/>
    <col min="2" max="2" width="12" style="1" customWidth="1"/>
    <col min="3" max="3" width="11.75" style="1" customWidth="1"/>
    <col min="4" max="4" width="54.25" style="1" customWidth="1"/>
    <col min="5" max="5" width="68.125" style="1" customWidth="1"/>
    <col min="6" max="6" width="7.75" style="1" customWidth="1"/>
    <col min="7" max="7" width="2.625" style="1" customWidth="1"/>
    <col min="8" max="8" width="6.25" style="1" customWidth="1"/>
    <col min="9" max="10" width="14.75" style="3" customWidth="1"/>
    <col min="11" max="11" width="17.75" style="3" customWidth="1"/>
    <col min="12" max="16384" width="9" style="1"/>
  </cols>
  <sheetData>
    <row r="1" spans="1:11" x14ac:dyDescent="0.15">
      <c r="A1" s="1" t="s">
        <v>21</v>
      </c>
      <c r="B1" s="1" t="s">
        <v>341</v>
      </c>
      <c r="C1" s="1" t="s">
        <v>342</v>
      </c>
      <c r="D1" s="1" t="s">
        <v>343</v>
      </c>
      <c r="E1" s="1" t="s">
        <v>344</v>
      </c>
      <c r="F1" s="1" t="s">
        <v>37</v>
      </c>
      <c r="H1" s="1" t="s">
        <v>26</v>
      </c>
      <c r="I1" s="3" t="s">
        <v>345</v>
      </c>
      <c r="J1" s="3" t="s">
        <v>346</v>
      </c>
      <c r="K1" s="3" t="s">
        <v>347</v>
      </c>
    </row>
    <row r="2" spans="1:11" x14ac:dyDescent="0.15">
      <c r="A2" s="1" t="s">
        <v>23</v>
      </c>
      <c r="B2" s="1" t="s">
        <v>348</v>
      </c>
      <c r="C2" s="1" t="s">
        <v>349</v>
      </c>
      <c r="D2" s="1" t="s">
        <v>350</v>
      </c>
      <c r="E2" s="1" t="s">
        <v>351</v>
      </c>
      <c r="F2" s="1" t="s">
        <v>43</v>
      </c>
      <c r="I2" s="3" t="s">
        <v>352</v>
      </c>
      <c r="J2" s="3" t="s">
        <v>353</v>
      </c>
      <c r="K2" s="3" t="s">
        <v>354</v>
      </c>
    </row>
    <row r="3" spans="1:11" x14ac:dyDescent="0.15">
      <c r="A3" s="1">
        <v>1</v>
      </c>
      <c r="B3" s="1">
        <v>0</v>
      </c>
      <c r="C3" s="1">
        <v>1</v>
      </c>
      <c r="D3" s="17" t="str">
        <f>I3&amp;","&amp;J3&amp;","&amp;K3</f>
        <v>4,4,43</v>
      </c>
      <c r="E3" s="1" t="s">
        <v>355</v>
      </c>
      <c r="F3" s="1" t="s">
        <v>280</v>
      </c>
      <c r="I3" s="3">
        <v>4</v>
      </c>
      <c r="J3" s="3">
        <v>4</v>
      </c>
      <c r="K3" s="3">
        <v>43</v>
      </c>
    </row>
    <row r="4" spans="1:11" x14ac:dyDescent="0.15">
      <c r="A4" s="1">
        <v>2</v>
      </c>
      <c r="B4" s="1">
        <v>1</v>
      </c>
      <c r="C4" s="1">
        <v>1</v>
      </c>
      <c r="D4" s="17" t="str">
        <f>I4&amp;","&amp;J4&amp;","&amp;K4</f>
        <v>0,21,241</v>
      </c>
      <c r="E4" s="1" t="s">
        <v>356</v>
      </c>
      <c r="F4" s="1" t="s">
        <v>132</v>
      </c>
      <c r="I4" s="3">
        <v>0</v>
      </c>
      <c r="J4" s="3">
        <v>21</v>
      </c>
      <c r="K4" s="3">
        <v>241</v>
      </c>
    </row>
    <row r="5" spans="1:11" x14ac:dyDescent="0.15">
      <c r="A5" s="1">
        <v>3</v>
      </c>
      <c r="B5" s="1">
        <v>2</v>
      </c>
      <c r="C5" s="1">
        <v>1</v>
      </c>
      <c r="D5" s="17" t="str">
        <f>I5&amp;","&amp;J5&amp;","&amp;K5</f>
        <v>0,74,1000</v>
      </c>
      <c r="E5" s="1" t="s">
        <v>357</v>
      </c>
      <c r="F5" s="1" t="s">
        <v>283</v>
      </c>
      <c r="I5" s="3">
        <v>0</v>
      </c>
      <c r="J5" s="3">
        <v>74</v>
      </c>
      <c r="K5" s="3">
        <v>1000</v>
      </c>
    </row>
    <row r="6" spans="1:11" x14ac:dyDescent="0.15">
      <c r="A6" s="1">
        <v>4</v>
      </c>
      <c r="B6" s="1">
        <v>3</v>
      </c>
      <c r="C6" s="1">
        <v>1</v>
      </c>
      <c r="D6" s="17" t="str">
        <f t="shared" ref="D6:D27" si="0">I6&amp;","&amp;J6&amp;","&amp;K6</f>
        <v>0,308,5001</v>
      </c>
      <c r="E6" s="1" t="s">
        <v>356</v>
      </c>
      <c r="F6" s="1" t="s">
        <v>281</v>
      </c>
      <c r="I6" s="3">
        <v>0</v>
      </c>
      <c r="J6" s="3">
        <v>308</v>
      </c>
      <c r="K6" s="3">
        <v>5001</v>
      </c>
    </row>
    <row r="7" spans="1:11" x14ac:dyDescent="0.15">
      <c r="A7" s="1">
        <v>5</v>
      </c>
      <c r="B7" s="1">
        <v>4</v>
      </c>
      <c r="C7" s="1">
        <v>1</v>
      </c>
      <c r="D7" s="17" t="str">
        <f t="shared" si="0"/>
        <v>0,988,20001</v>
      </c>
      <c r="E7" s="1" t="s">
        <v>358</v>
      </c>
      <c r="F7" s="1" t="s">
        <v>282</v>
      </c>
      <c r="I7" s="3">
        <v>0</v>
      </c>
      <c r="J7" s="3">
        <v>988</v>
      </c>
      <c r="K7" s="3">
        <v>20001</v>
      </c>
    </row>
    <row r="8" spans="1:11" x14ac:dyDescent="0.15">
      <c r="A8" s="1">
        <v>6</v>
      </c>
      <c r="B8" s="1">
        <v>5</v>
      </c>
      <c r="C8" s="1">
        <v>1</v>
      </c>
      <c r="D8" s="17" t="str">
        <f t="shared" si="0"/>
        <v>0,3788,100000</v>
      </c>
      <c r="E8" s="1" t="s">
        <v>358</v>
      </c>
      <c r="F8" s="1" t="s">
        <v>359</v>
      </c>
      <c r="I8" s="3">
        <v>0</v>
      </c>
      <c r="J8" s="3">
        <v>3788</v>
      </c>
      <c r="K8" s="3">
        <v>100000</v>
      </c>
    </row>
    <row r="9" spans="1:11" x14ac:dyDescent="0.15">
      <c r="A9" s="1">
        <v>7</v>
      </c>
      <c r="B9" s="1">
        <v>6</v>
      </c>
      <c r="C9" s="1">
        <v>1</v>
      </c>
      <c r="D9" s="17" t="str">
        <f t="shared" si="0"/>
        <v>0,16660,600000</v>
      </c>
      <c r="E9" s="1" t="s">
        <v>360</v>
      </c>
      <c r="F9" s="1" t="s">
        <v>277</v>
      </c>
      <c r="I9" s="3">
        <v>0</v>
      </c>
      <c r="J9" s="3">
        <v>16660</v>
      </c>
      <c r="K9" s="3">
        <v>600000</v>
      </c>
    </row>
    <row r="10" spans="1:11" x14ac:dyDescent="0.15">
      <c r="A10" s="1">
        <v>8</v>
      </c>
      <c r="B10" s="1">
        <v>7</v>
      </c>
      <c r="C10" s="1">
        <v>1</v>
      </c>
      <c r="D10" s="17" t="str">
        <f t="shared" si="0"/>
        <v>0,73304,3600000</v>
      </c>
      <c r="E10" s="1" t="s">
        <v>361</v>
      </c>
      <c r="F10" s="1" t="s">
        <v>278</v>
      </c>
      <c r="I10" s="3">
        <v>0</v>
      </c>
      <c r="J10" s="3">
        <v>73304</v>
      </c>
      <c r="K10" s="3">
        <v>3600000</v>
      </c>
    </row>
    <row r="11" spans="1:11" x14ac:dyDescent="0.15">
      <c r="A11" s="1">
        <v>9</v>
      </c>
      <c r="B11" s="1">
        <v>8</v>
      </c>
      <c r="C11" s="1">
        <v>1</v>
      </c>
      <c r="D11" s="17" t="str">
        <f t="shared" si="0"/>
        <v>0,322537,21600000</v>
      </c>
      <c r="E11" s="1" t="s">
        <v>362</v>
      </c>
      <c r="F11" s="1" t="s">
        <v>363</v>
      </c>
      <c r="I11" s="3">
        <v>0</v>
      </c>
      <c r="J11" s="3">
        <v>322537</v>
      </c>
      <c r="K11" s="3">
        <v>21600000</v>
      </c>
    </row>
    <row r="12" spans="1:11" x14ac:dyDescent="0.15">
      <c r="A12" s="1">
        <v>10</v>
      </c>
      <c r="B12" s="1">
        <v>9</v>
      </c>
      <c r="C12" s="1">
        <v>1</v>
      </c>
      <c r="D12" s="17" t="str">
        <f t="shared" si="0"/>
        <v>0,1419165,129600000</v>
      </c>
      <c r="E12" s="1" t="s">
        <v>364</v>
      </c>
      <c r="F12" s="1" t="s">
        <v>365</v>
      </c>
      <c r="I12" s="3">
        <v>0</v>
      </c>
      <c r="J12" s="3">
        <v>1419165</v>
      </c>
      <c r="K12" s="3">
        <v>129600000</v>
      </c>
    </row>
    <row r="13" spans="1:11" x14ac:dyDescent="0.15">
      <c r="A13" s="1">
        <v>11</v>
      </c>
      <c r="B13" s="1">
        <v>10</v>
      </c>
      <c r="C13" s="1">
        <v>1</v>
      </c>
      <c r="D13" s="17" t="str">
        <f t="shared" si="0"/>
        <v>0,6244327,777600000</v>
      </c>
      <c r="E13" s="1" t="s">
        <v>358</v>
      </c>
      <c r="F13" s="1" t="s">
        <v>366</v>
      </c>
      <c r="I13" s="3">
        <v>0</v>
      </c>
      <c r="J13" s="3">
        <v>6244327</v>
      </c>
      <c r="K13" s="3">
        <v>777600000</v>
      </c>
    </row>
    <row r="14" spans="1:11" x14ac:dyDescent="0.15">
      <c r="A14" s="1">
        <v>12</v>
      </c>
      <c r="B14" s="1">
        <v>11</v>
      </c>
      <c r="C14" s="1">
        <v>1</v>
      </c>
      <c r="D14" s="17" t="str">
        <f t="shared" si="0"/>
        <v>0,27475042,4665600000</v>
      </c>
      <c r="E14" s="1" t="s">
        <v>361</v>
      </c>
      <c r="F14" s="1" t="s">
        <v>279</v>
      </c>
      <c r="I14" s="3">
        <v>0</v>
      </c>
      <c r="J14" s="3">
        <v>27475042</v>
      </c>
      <c r="K14" s="3">
        <v>4665600000</v>
      </c>
    </row>
    <row r="15" spans="1:11" x14ac:dyDescent="0.15">
      <c r="A15" s="1">
        <v>13</v>
      </c>
      <c r="B15" s="1">
        <v>12</v>
      </c>
      <c r="C15" s="1">
        <v>1</v>
      </c>
      <c r="D15" s="17" t="str">
        <f t="shared" si="0"/>
        <v>0,120890188,27993600000</v>
      </c>
      <c r="E15" s="1" t="s">
        <v>360</v>
      </c>
      <c r="F15" s="1" t="s">
        <v>367</v>
      </c>
      <c r="I15" s="3">
        <v>0</v>
      </c>
      <c r="J15" s="3">
        <v>120890188</v>
      </c>
      <c r="K15" s="3">
        <v>27993600000</v>
      </c>
    </row>
    <row r="16" spans="1:11" x14ac:dyDescent="0.15">
      <c r="A16" s="1">
        <v>14</v>
      </c>
      <c r="B16" s="1">
        <v>13</v>
      </c>
      <c r="C16" s="1">
        <v>1</v>
      </c>
      <c r="D16" s="17" t="str">
        <f t="shared" si="0"/>
        <v>0,531916830,167961600000</v>
      </c>
      <c r="E16" s="1" t="s">
        <v>364</v>
      </c>
      <c r="F16" s="1" t="s">
        <v>287</v>
      </c>
      <c r="I16" s="3">
        <v>0</v>
      </c>
      <c r="J16" s="3">
        <v>531916830</v>
      </c>
      <c r="K16" s="3">
        <v>167961600000</v>
      </c>
    </row>
    <row r="17" spans="1:11" x14ac:dyDescent="0.15">
      <c r="A17" s="1">
        <v>15</v>
      </c>
      <c r="B17" s="1">
        <v>14</v>
      </c>
      <c r="C17" s="1">
        <v>1</v>
      </c>
      <c r="D17" s="17" t="str">
        <f t="shared" si="0"/>
        <v>0,2340434056,1007769600000</v>
      </c>
      <c r="E17" s="1" t="s">
        <v>360</v>
      </c>
      <c r="F17" s="1" t="s">
        <v>368</v>
      </c>
      <c r="I17" s="3">
        <v>0</v>
      </c>
      <c r="J17" s="3">
        <v>2340434056</v>
      </c>
      <c r="K17" s="3">
        <v>1007769600000</v>
      </c>
    </row>
    <row r="18" spans="1:11" x14ac:dyDescent="0.15">
      <c r="A18" s="1">
        <v>16</v>
      </c>
      <c r="B18" s="1">
        <v>15</v>
      </c>
      <c r="C18" s="1">
        <v>1</v>
      </c>
      <c r="D18" s="17" t="str">
        <f t="shared" si="0"/>
        <v>0,10297909846,6046617600000</v>
      </c>
      <c r="E18" s="1" t="s">
        <v>364</v>
      </c>
      <c r="F18" s="1" t="s">
        <v>369</v>
      </c>
      <c r="I18" s="3">
        <v>0</v>
      </c>
      <c r="J18" s="3">
        <v>10297909846</v>
      </c>
      <c r="K18" s="3">
        <v>6046617600000</v>
      </c>
    </row>
    <row r="19" spans="1:11" x14ac:dyDescent="0.15">
      <c r="A19" s="1">
        <v>17</v>
      </c>
      <c r="B19" s="1">
        <v>16</v>
      </c>
      <c r="C19" s="1">
        <v>1</v>
      </c>
      <c r="D19" s="17" t="str">
        <f t="shared" si="0"/>
        <v>0,45310803323,36279705600000</v>
      </c>
      <c r="E19" s="1" t="s">
        <v>360</v>
      </c>
      <c r="F19" s="1" t="s">
        <v>370</v>
      </c>
      <c r="I19" s="3">
        <v>0</v>
      </c>
      <c r="J19" s="3">
        <v>45310803323</v>
      </c>
      <c r="K19" s="3">
        <v>36279705600000</v>
      </c>
    </row>
    <row r="20" spans="1:11" x14ac:dyDescent="0.15">
      <c r="A20" s="1">
        <v>18</v>
      </c>
      <c r="B20" s="1">
        <v>17</v>
      </c>
      <c r="C20" s="1">
        <v>1</v>
      </c>
      <c r="D20" s="17" t="str">
        <f t="shared" si="0"/>
        <v>0,199367534622,217678233600000</v>
      </c>
      <c r="E20" s="1" t="s">
        <v>361</v>
      </c>
      <c r="F20" s="1" t="s">
        <v>371</v>
      </c>
      <c r="I20" s="3">
        <v>0</v>
      </c>
      <c r="J20" s="3">
        <v>199367534622</v>
      </c>
      <c r="K20" s="3">
        <v>217678233600000</v>
      </c>
    </row>
    <row r="21" spans="1:11" x14ac:dyDescent="0.15">
      <c r="A21" s="1">
        <v>19</v>
      </c>
      <c r="B21" s="1">
        <v>18</v>
      </c>
      <c r="C21" s="1">
        <v>1</v>
      </c>
      <c r="D21" s="17" t="str">
        <f t="shared" si="0"/>
        <v>0,877217152341,1306069401600000</v>
      </c>
      <c r="E21" s="1" t="s">
        <v>372</v>
      </c>
      <c r="F21" s="1" t="s">
        <v>373</v>
      </c>
      <c r="I21" s="3">
        <v>0</v>
      </c>
      <c r="J21" s="3">
        <v>877217152341</v>
      </c>
      <c r="K21" s="3">
        <v>1306069401600000</v>
      </c>
    </row>
    <row r="22" spans="1:11" x14ac:dyDescent="0.15">
      <c r="A22" s="1">
        <v>20</v>
      </c>
      <c r="B22" s="1">
        <v>19</v>
      </c>
      <c r="C22" s="1">
        <v>1</v>
      </c>
      <c r="D22" s="17" t="str">
        <f t="shared" si="0"/>
        <v>0,3859755470300,7836416409600000</v>
      </c>
      <c r="E22" s="1" t="s">
        <v>374</v>
      </c>
      <c r="F22" s="1" t="s">
        <v>139</v>
      </c>
      <c r="I22" s="3">
        <v>0</v>
      </c>
      <c r="J22" s="3">
        <v>3859755470300</v>
      </c>
      <c r="K22" s="3">
        <v>7836416409600000</v>
      </c>
    </row>
    <row r="23" spans="1:11" x14ac:dyDescent="0.15">
      <c r="A23" s="1">
        <v>21</v>
      </c>
      <c r="B23" s="1">
        <v>20</v>
      </c>
      <c r="C23" s="1">
        <v>1</v>
      </c>
      <c r="D23" s="17" t="str">
        <f t="shared" si="0"/>
        <v>0,16982924069324,47018498457600000</v>
      </c>
      <c r="E23" s="1" t="s">
        <v>372</v>
      </c>
      <c r="F23" s="1" t="s">
        <v>375</v>
      </c>
      <c r="I23" s="3">
        <v>0</v>
      </c>
      <c r="J23" s="3">
        <v>16982924069324</v>
      </c>
      <c r="K23" s="3">
        <v>4.70184984576E+16</v>
      </c>
    </row>
    <row r="24" spans="1:11" x14ac:dyDescent="0.15">
      <c r="A24" s="1">
        <v>22</v>
      </c>
      <c r="B24" s="1">
        <v>21</v>
      </c>
      <c r="C24" s="1">
        <v>1</v>
      </c>
      <c r="D24" s="17" t="str">
        <f t="shared" si="0"/>
        <v>0,74724865905025,282110990745600000</v>
      </c>
      <c r="E24" s="1" t="s">
        <v>372</v>
      </c>
      <c r="F24" s="1" t="s">
        <v>376</v>
      </c>
      <c r="I24" s="3">
        <v>0</v>
      </c>
      <c r="J24" s="3">
        <v>74724865905025</v>
      </c>
      <c r="K24" s="3">
        <v>2.821109907456E+17</v>
      </c>
    </row>
    <row r="25" spans="1:11" x14ac:dyDescent="0.15">
      <c r="A25" s="1">
        <v>23</v>
      </c>
      <c r="B25" s="1">
        <v>22</v>
      </c>
      <c r="C25" s="1">
        <v>1</v>
      </c>
      <c r="D25" s="17" t="str">
        <f t="shared" si="0"/>
        <v>0,328789409982113,1692665944473600000</v>
      </c>
      <c r="E25" s="1" t="s">
        <v>372</v>
      </c>
      <c r="F25" s="1" t="s">
        <v>377</v>
      </c>
      <c r="I25" s="3">
        <v>0</v>
      </c>
      <c r="J25" s="3">
        <v>328789409982113</v>
      </c>
      <c r="K25" s="3">
        <v>1.6926659444736E+18</v>
      </c>
    </row>
    <row r="26" spans="1:11" x14ac:dyDescent="0.15">
      <c r="A26" s="1">
        <v>24</v>
      </c>
      <c r="B26" s="1">
        <v>23</v>
      </c>
      <c r="C26" s="1">
        <v>1</v>
      </c>
      <c r="D26" s="17" t="str">
        <f t="shared" si="0"/>
        <v>0,1446673403921300,10155995666841600000</v>
      </c>
      <c r="E26" s="1" t="s">
        <v>372</v>
      </c>
      <c r="F26" s="1" t="s">
        <v>378</v>
      </c>
      <c r="I26" s="3">
        <v>0</v>
      </c>
      <c r="J26" s="3">
        <v>1446673403921300</v>
      </c>
      <c r="K26" s="3">
        <v>1.01559956668416E+19</v>
      </c>
    </row>
    <row r="27" spans="1:11" x14ac:dyDescent="0.15">
      <c r="A27" s="1">
        <v>25</v>
      </c>
      <c r="B27" s="1">
        <v>24</v>
      </c>
      <c r="C27" s="1">
        <v>1</v>
      </c>
      <c r="D27" s="17" t="str">
        <f t="shared" si="0"/>
        <v>0,6365362977253700,60935974001049600000</v>
      </c>
      <c r="E27" s="1" t="s">
        <v>372</v>
      </c>
      <c r="F27" s="1" t="s">
        <v>158</v>
      </c>
      <c r="I27" s="3">
        <v>0</v>
      </c>
      <c r="J27" s="3">
        <v>6365362977253700</v>
      </c>
      <c r="K27" s="3">
        <v>6.09359740010496E+19</v>
      </c>
    </row>
  </sheetData>
  <phoneticPr fontId="9" type="noConversion"/>
  <pageMargins left="0.69930555555555596" right="0.69930555555555596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1"/>
  <sheetViews>
    <sheetView workbookViewId="0">
      <selection activeCell="D31" sqref="D31"/>
    </sheetView>
  </sheetViews>
  <sheetFormatPr defaultColWidth="9" defaultRowHeight="11.25" x14ac:dyDescent="0.15"/>
  <cols>
    <col min="1" max="1" width="9" style="1"/>
    <col min="2" max="2" width="12" style="1" customWidth="1"/>
    <col min="3" max="3" width="19.875" style="1" customWidth="1"/>
    <col min="4" max="16384" width="9" style="1"/>
  </cols>
  <sheetData>
    <row r="1" spans="1:6" x14ac:dyDescent="0.15">
      <c r="A1" s="1" t="s">
        <v>21</v>
      </c>
      <c r="B1" s="1" t="s">
        <v>379</v>
      </c>
      <c r="C1" s="1" t="s">
        <v>38</v>
      </c>
      <c r="D1" s="1" t="s">
        <v>347</v>
      </c>
      <c r="E1" s="1" t="s">
        <v>380</v>
      </c>
      <c r="F1" s="1" t="s">
        <v>37</v>
      </c>
    </row>
    <row r="2" spans="1:6" x14ac:dyDescent="0.15">
      <c r="A2" s="1" t="s">
        <v>23</v>
      </c>
      <c r="B2" s="1" t="s">
        <v>381</v>
      </c>
      <c r="C2" s="1" t="s">
        <v>255</v>
      </c>
      <c r="D2" s="1" t="s">
        <v>382</v>
      </c>
      <c r="E2" s="1" t="s">
        <v>310</v>
      </c>
      <c r="F2" s="1" t="s">
        <v>43</v>
      </c>
    </row>
    <row r="3" spans="1:6" x14ac:dyDescent="0.15">
      <c r="A3" s="1">
        <v>1</v>
      </c>
      <c r="B3" s="1" t="s">
        <v>383</v>
      </c>
      <c r="C3" s="1" t="s">
        <v>384</v>
      </c>
      <c r="D3" s="1">
        <v>1000</v>
      </c>
      <c r="E3" s="1">
        <v>0</v>
      </c>
      <c r="F3" s="1" t="s">
        <v>385</v>
      </c>
    </row>
    <row r="4" spans="1:6" x14ac:dyDescent="0.15">
      <c r="A4" s="1">
        <v>2</v>
      </c>
      <c r="B4" s="1" t="s">
        <v>386</v>
      </c>
      <c r="C4" s="1" t="s">
        <v>387</v>
      </c>
      <c r="D4" s="1">
        <v>1000</v>
      </c>
      <c r="E4" s="1">
        <v>0</v>
      </c>
      <c r="F4" s="1" t="s">
        <v>388</v>
      </c>
    </row>
    <row r="5" spans="1:6" x14ac:dyDescent="0.15">
      <c r="A5" s="1">
        <v>3</v>
      </c>
      <c r="B5" s="1" t="s">
        <v>389</v>
      </c>
      <c r="C5" s="1" t="s">
        <v>390</v>
      </c>
      <c r="D5" s="1">
        <v>1000</v>
      </c>
      <c r="E5" s="1">
        <v>0</v>
      </c>
      <c r="F5" s="1" t="s">
        <v>391</v>
      </c>
    </row>
    <row r="6" spans="1:6" x14ac:dyDescent="0.15">
      <c r="A6" s="1">
        <v>4</v>
      </c>
      <c r="B6" s="1" t="s">
        <v>392</v>
      </c>
      <c r="C6" s="1" t="s">
        <v>393</v>
      </c>
      <c r="D6" s="1">
        <v>1000</v>
      </c>
      <c r="E6" s="1">
        <v>0</v>
      </c>
      <c r="F6" s="1" t="s">
        <v>394</v>
      </c>
    </row>
    <row r="7" spans="1:6" x14ac:dyDescent="0.15">
      <c r="A7" s="1">
        <v>5</v>
      </c>
      <c r="B7" s="1" t="s">
        <v>395</v>
      </c>
      <c r="C7" s="1" t="s">
        <v>396</v>
      </c>
      <c r="D7" s="1">
        <v>1000</v>
      </c>
      <c r="E7" s="1">
        <v>25</v>
      </c>
      <c r="F7" s="1" t="s">
        <v>397</v>
      </c>
    </row>
    <row r="8" spans="1:6" x14ac:dyDescent="0.15">
      <c r="A8" s="1">
        <v>6</v>
      </c>
      <c r="B8" s="1" t="s">
        <v>398</v>
      </c>
      <c r="C8" s="1" t="s">
        <v>399</v>
      </c>
      <c r="D8" s="1">
        <v>1000</v>
      </c>
      <c r="E8" s="1">
        <v>25</v>
      </c>
      <c r="F8" s="1" t="s">
        <v>400</v>
      </c>
    </row>
    <row r="9" spans="1:6" x14ac:dyDescent="0.15">
      <c r="A9" s="1">
        <v>7</v>
      </c>
      <c r="B9" s="1" t="s">
        <v>401</v>
      </c>
      <c r="C9" s="1" t="s">
        <v>402</v>
      </c>
      <c r="D9" s="1">
        <v>1000</v>
      </c>
      <c r="E9" s="1">
        <v>30</v>
      </c>
      <c r="F9" s="1" t="s">
        <v>403</v>
      </c>
    </row>
    <row r="10" spans="1:6" x14ac:dyDescent="0.15">
      <c r="A10" s="1">
        <v>8</v>
      </c>
      <c r="B10" s="1" t="s">
        <v>404</v>
      </c>
      <c r="C10" s="1" t="s">
        <v>405</v>
      </c>
      <c r="D10" s="1">
        <v>1000</v>
      </c>
      <c r="E10" s="1">
        <v>10</v>
      </c>
      <c r="F10" s="1" t="s">
        <v>406</v>
      </c>
    </row>
    <row r="11" spans="1:6" x14ac:dyDescent="0.15">
      <c r="A11" s="1">
        <v>9</v>
      </c>
      <c r="B11" s="1" t="s">
        <v>407</v>
      </c>
      <c r="C11" s="1" t="s">
        <v>408</v>
      </c>
      <c r="D11" s="1">
        <v>1000</v>
      </c>
      <c r="E11" s="1">
        <v>20</v>
      </c>
      <c r="F11" s="1" t="s">
        <v>409</v>
      </c>
    </row>
    <row r="12" spans="1:6" x14ac:dyDescent="0.15">
      <c r="A12" s="1">
        <v>10</v>
      </c>
      <c r="B12" s="1" t="s">
        <v>410</v>
      </c>
      <c r="C12" s="1" t="s">
        <v>411</v>
      </c>
      <c r="D12" s="1">
        <v>1000</v>
      </c>
      <c r="E12" s="1">
        <v>25</v>
      </c>
      <c r="F12" s="1" t="s">
        <v>412</v>
      </c>
    </row>
    <row r="13" spans="1:6" x14ac:dyDescent="0.15">
      <c r="A13" s="1">
        <v>11</v>
      </c>
      <c r="B13" s="1" t="s">
        <v>413</v>
      </c>
      <c r="C13" s="1" t="s">
        <v>414</v>
      </c>
      <c r="D13" s="1">
        <v>1000</v>
      </c>
      <c r="E13" s="1">
        <v>25</v>
      </c>
      <c r="F13" s="1" t="s">
        <v>415</v>
      </c>
    </row>
    <row r="14" spans="1:6" x14ac:dyDescent="0.15">
      <c r="A14" s="1">
        <v>12</v>
      </c>
      <c r="B14" s="1" t="s">
        <v>266</v>
      </c>
      <c r="C14" s="1" t="s">
        <v>416</v>
      </c>
      <c r="D14" s="1">
        <v>1000</v>
      </c>
      <c r="E14" s="1">
        <v>25</v>
      </c>
      <c r="F14" s="1" t="s">
        <v>417</v>
      </c>
    </row>
    <row r="15" spans="1:6" x14ac:dyDescent="0.15">
      <c r="A15" s="1">
        <v>13</v>
      </c>
      <c r="B15" s="1" t="s">
        <v>418</v>
      </c>
      <c r="C15" s="1" t="s">
        <v>419</v>
      </c>
      <c r="D15" s="1">
        <v>1000</v>
      </c>
      <c r="E15" s="1">
        <v>50</v>
      </c>
      <c r="F15" s="1" t="s">
        <v>420</v>
      </c>
    </row>
    <row r="16" spans="1:6" x14ac:dyDescent="0.15">
      <c r="A16" s="1">
        <v>14</v>
      </c>
      <c r="B16" s="1" t="s">
        <v>57</v>
      </c>
      <c r="C16" s="1" t="s">
        <v>421</v>
      </c>
      <c r="D16" s="1">
        <v>1000</v>
      </c>
      <c r="E16" s="1">
        <v>30</v>
      </c>
      <c r="F16" s="1" t="s">
        <v>422</v>
      </c>
    </row>
    <row r="17" spans="1:6" x14ac:dyDescent="0.15">
      <c r="A17" s="1">
        <v>15</v>
      </c>
      <c r="B17" s="1" t="s">
        <v>423</v>
      </c>
      <c r="C17" s="1" t="s">
        <v>424</v>
      </c>
      <c r="D17" s="1">
        <v>1000</v>
      </c>
      <c r="E17" s="1">
        <v>30</v>
      </c>
      <c r="F17" s="1" t="s">
        <v>425</v>
      </c>
    </row>
    <row r="18" spans="1:6" x14ac:dyDescent="0.15">
      <c r="A18" s="1">
        <v>16</v>
      </c>
      <c r="B18" s="1" t="s">
        <v>426</v>
      </c>
      <c r="C18" s="1" t="s">
        <v>427</v>
      </c>
      <c r="D18" s="1">
        <v>1000</v>
      </c>
      <c r="E18" s="1">
        <v>50</v>
      </c>
      <c r="F18" s="1" t="s">
        <v>428</v>
      </c>
    </row>
    <row r="19" spans="1:6" x14ac:dyDescent="0.15">
      <c r="A19" s="1">
        <v>17</v>
      </c>
      <c r="B19" s="1" t="s">
        <v>429</v>
      </c>
      <c r="C19" s="1" t="s">
        <v>430</v>
      </c>
      <c r="D19" s="1">
        <v>1000</v>
      </c>
      <c r="E19" s="1">
        <v>50</v>
      </c>
      <c r="F19" s="1" t="s">
        <v>431</v>
      </c>
    </row>
    <row r="20" spans="1:6" x14ac:dyDescent="0.15">
      <c r="A20" s="1">
        <v>18</v>
      </c>
      <c r="B20" s="1" t="s">
        <v>432</v>
      </c>
      <c r="C20" s="1" t="s">
        <v>433</v>
      </c>
      <c r="D20" s="1">
        <v>1000</v>
      </c>
      <c r="E20" s="1">
        <v>30</v>
      </c>
      <c r="F20" s="1" t="s">
        <v>434</v>
      </c>
    </row>
    <row r="21" spans="1:6" x14ac:dyDescent="0.15">
      <c r="A21" s="1">
        <v>19</v>
      </c>
      <c r="B21" s="1" t="s">
        <v>435</v>
      </c>
      <c r="C21" s="1" t="s">
        <v>436</v>
      </c>
      <c r="D21" s="1">
        <v>1000</v>
      </c>
      <c r="E21" s="1">
        <v>100</v>
      </c>
      <c r="F21" s="1" t="s">
        <v>437</v>
      </c>
    </row>
    <row r="22" spans="1:6" x14ac:dyDescent="0.15">
      <c r="A22" s="1">
        <v>20</v>
      </c>
      <c r="B22" s="1" t="s">
        <v>438</v>
      </c>
      <c r="C22" s="1" t="s">
        <v>439</v>
      </c>
      <c r="D22" s="1">
        <v>1000</v>
      </c>
      <c r="E22" s="1">
        <v>100</v>
      </c>
      <c r="F22" s="1" t="s">
        <v>440</v>
      </c>
    </row>
    <row r="23" spans="1:6" x14ac:dyDescent="0.15">
      <c r="A23" s="1">
        <v>21</v>
      </c>
      <c r="B23" s="1" t="s">
        <v>441</v>
      </c>
      <c r="C23" s="1" t="s">
        <v>442</v>
      </c>
      <c r="D23" s="1">
        <v>1000</v>
      </c>
      <c r="E23" s="1">
        <v>25</v>
      </c>
      <c r="F23" s="1" t="s">
        <v>443</v>
      </c>
    </row>
    <row r="24" spans="1:6" x14ac:dyDescent="0.15">
      <c r="A24" s="1">
        <v>22</v>
      </c>
      <c r="B24" s="1" t="s">
        <v>444</v>
      </c>
      <c r="C24" s="1" t="s">
        <v>445</v>
      </c>
      <c r="D24" s="1">
        <v>1000</v>
      </c>
      <c r="E24" s="1">
        <v>30</v>
      </c>
      <c r="F24" s="1" t="s">
        <v>446</v>
      </c>
    </row>
    <row r="25" spans="1:6" x14ac:dyDescent="0.15">
      <c r="A25" s="1">
        <v>23</v>
      </c>
      <c r="B25" s="1" t="s">
        <v>447</v>
      </c>
      <c r="C25" s="1" t="s">
        <v>448</v>
      </c>
      <c r="D25" s="1">
        <v>1000</v>
      </c>
      <c r="E25" s="1">
        <v>25</v>
      </c>
      <c r="F25" s="1" t="s">
        <v>449</v>
      </c>
    </row>
    <row r="26" spans="1:6" x14ac:dyDescent="0.15">
      <c r="A26" s="1">
        <v>24</v>
      </c>
      <c r="B26" s="1" t="s">
        <v>450</v>
      </c>
      <c r="C26" s="1" t="s">
        <v>451</v>
      </c>
      <c r="D26" s="1">
        <v>1000</v>
      </c>
      <c r="E26" s="1">
        <v>30</v>
      </c>
      <c r="F26" s="1" t="s">
        <v>452</v>
      </c>
    </row>
    <row r="27" spans="1:6" x14ac:dyDescent="0.15">
      <c r="A27" s="1">
        <v>25</v>
      </c>
      <c r="B27" s="1" t="s">
        <v>426</v>
      </c>
      <c r="C27" s="1" t="s">
        <v>453</v>
      </c>
      <c r="D27" s="1">
        <v>1000</v>
      </c>
      <c r="E27" s="1">
        <v>30</v>
      </c>
      <c r="F27" s="1" t="s">
        <v>454</v>
      </c>
    </row>
    <row r="28" spans="1:6" x14ac:dyDescent="0.15">
      <c r="A28" s="1">
        <v>26</v>
      </c>
      <c r="B28" s="1" t="s">
        <v>455</v>
      </c>
      <c r="C28" s="1" t="s">
        <v>456</v>
      </c>
      <c r="D28" s="1">
        <v>1000</v>
      </c>
      <c r="E28" s="1">
        <v>25</v>
      </c>
      <c r="F28" s="1" t="s">
        <v>457</v>
      </c>
    </row>
    <row r="29" spans="1:6" x14ac:dyDescent="0.15">
      <c r="A29" s="1">
        <v>27</v>
      </c>
      <c r="B29" s="1" t="s">
        <v>458</v>
      </c>
      <c r="C29" s="1" t="s">
        <v>459</v>
      </c>
      <c r="D29" s="1">
        <v>1000</v>
      </c>
      <c r="E29" s="1">
        <v>50</v>
      </c>
      <c r="F29" s="1" t="s">
        <v>460</v>
      </c>
    </row>
    <row r="30" spans="1:6" x14ac:dyDescent="0.15">
      <c r="A30" s="1">
        <v>28</v>
      </c>
      <c r="B30" s="1" t="s">
        <v>461</v>
      </c>
      <c r="C30" s="1" t="s">
        <v>462</v>
      </c>
      <c r="D30" s="1">
        <v>1000</v>
      </c>
      <c r="E30" s="1">
        <v>20</v>
      </c>
      <c r="F30" s="1" t="s">
        <v>463</v>
      </c>
    </row>
    <row r="31" spans="1:6" x14ac:dyDescent="0.15">
      <c r="A31" s="1">
        <v>29</v>
      </c>
      <c r="B31" s="1" t="s">
        <v>464</v>
      </c>
      <c r="C31" s="1" t="s">
        <v>465</v>
      </c>
      <c r="D31" s="1">
        <v>1000</v>
      </c>
      <c r="E31" s="1">
        <v>25</v>
      </c>
      <c r="F31" s="1" t="s">
        <v>466</v>
      </c>
    </row>
  </sheetData>
  <phoneticPr fontId="9" type="noConversion"/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9"/>
  <sheetViews>
    <sheetView workbookViewId="0">
      <selection activeCell="A5" sqref="A5"/>
    </sheetView>
  </sheetViews>
  <sheetFormatPr defaultColWidth="9" defaultRowHeight="11.25" x14ac:dyDescent="0.15"/>
  <cols>
    <col min="1" max="1" width="5.625" style="1" customWidth="1"/>
    <col min="2" max="2" width="6.125" style="1" customWidth="1"/>
    <col min="3" max="3" width="10.375" style="1" customWidth="1"/>
    <col min="4" max="4" width="10.625" style="1" customWidth="1"/>
    <col min="5" max="5" width="64.375" style="1" customWidth="1"/>
    <col min="6" max="6" width="13.25" style="1" customWidth="1"/>
    <col min="7" max="7" width="45.5" style="1" customWidth="1"/>
    <col min="8" max="9" width="9" style="1"/>
    <col min="10" max="10" width="5.875" style="1" customWidth="1"/>
    <col min="11" max="11" width="7.25" style="1" customWidth="1"/>
    <col min="12" max="12" width="7.625" style="1" customWidth="1"/>
    <col min="13" max="13" width="42" style="1" customWidth="1"/>
    <col min="14" max="16384" width="9" style="1"/>
  </cols>
  <sheetData>
    <row r="1" spans="1:13" x14ac:dyDescent="0.15">
      <c r="A1" s="1" t="s">
        <v>21</v>
      </c>
      <c r="B1" s="1" t="s">
        <v>467</v>
      </c>
      <c r="C1" s="1" t="s">
        <v>468</v>
      </c>
      <c r="D1" s="1" t="s">
        <v>469</v>
      </c>
      <c r="E1" s="1" t="s">
        <v>470</v>
      </c>
      <c r="F1" s="1" t="s">
        <v>471</v>
      </c>
      <c r="G1" s="1" t="s">
        <v>472</v>
      </c>
      <c r="H1" s="1" t="s">
        <v>37</v>
      </c>
      <c r="J1" s="1" t="s">
        <v>26</v>
      </c>
      <c r="K1" s="1" t="s">
        <v>345</v>
      </c>
      <c r="L1" s="1" t="s">
        <v>473</v>
      </c>
      <c r="M1" s="1" t="s">
        <v>41</v>
      </c>
    </row>
    <row r="2" spans="1:13" x14ac:dyDescent="0.15">
      <c r="A2" s="1" t="s">
        <v>23</v>
      </c>
      <c r="B2" s="1" t="s">
        <v>381</v>
      </c>
      <c r="C2" s="1" t="s">
        <v>474</v>
      </c>
      <c r="D2" s="1" t="s">
        <v>475</v>
      </c>
      <c r="E2" s="1" t="s">
        <v>351</v>
      </c>
      <c r="F2" s="1" t="s">
        <v>350</v>
      </c>
      <c r="G2" s="1" t="s">
        <v>255</v>
      </c>
      <c r="H2" s="1" t="s">
        <v>43</v>
      </c>
      <c r="K2" s="1" t="s">
        <v>352</v>
      </c>
      <c r="L2" s="1" t="s">
        <v>353</v>
      </c>
      <c r="M2" s="1" t="s">
        <v>28</v>
      </c>
    </row>
    <row r="3" spans="1:13" x14ac:dyDescent="0.15">
      <c r="A3" s="1">
        <v>1</v>
      </c>
      <c r="B3" s="1">
        <v>1</v>
      </c>
      <c r="C3" s="1" t="str">
        <f>"3000,"&amp;A3&amp;",100"</f>
        <v>3000,1,100</v>
      </c>
      <c r="D3" s="1" t="str">
        <f>"3000,"&amp;A3&amp;",100"</f>
        <v>3000,1,100</v>
      </c>
      <c r="E3" s="1" t="s">
        <v>476</v>
      </c>
      <c r="F3" s="17" t="str">
        <f>K3&amp;","&amp;L3</f>
        <v>2,2</v>
      </c>
      <c r="H3" s="1" t="s">
        <v>275</v>
      </c>
      <c r="K3" s="1">
        <v>2</v>
      </c>
      <c r="L3" s="1">
        <v>2</v>
      </c>
      <c r="M3" s="1" t="s">
        <v>477</v>
      </c>
    </row>
    <row r="4" spans="1:13" x14ac:dyDescent="0.15">
      <c r="A4" s="1">
        <v>2</v>
      </c>
      <c r="B4" s="1">
        <v>0</v>
      </c>
      <c r="C4" s="1" t="str">
        <f t="shared" ref="C4:C9" si="0">"3000,"&amp;A4&amp;",100"</f>
        <v>3000,2,100</v>
      </c>
      <c r="D4" s="1" t="str">
        <f t="shared" ref="D4:D9" si="1">"3000,"&amp;A4&amp;",100"</f>
        <v>3000,2,100</v>
      </c>
      <c r="E4" s="1" t="s">
        <v>476</v>
      </c>
      <c r="F4" s="17" t="str">
        <f t="shared" ref="F4:F9" si="2">K4&amp;","&amp;L4</f>
        <v>2,2</v>
      </c>
      <c r="G4" s="1" t="s">
        <v>478</v>
      </c>
      <c r="H4" s="1" t="s">
        <v>479</v>
      </c>
      <c r="K4" s="1">
        <v>2</v>
      </c>
      <c r="L4" s="1">
        <v>2</v>
      </c>
      <c r="M4" s="1" t="s">
        <v>480</v>
      </c>
    </row>
    <row r="5" spans="1:13" x14ac:dyDescent="0.15">
      <c r="A5" s="1">
        <v>3</v>
      </c>
      <c r="B5" s="1">
        <v>0</v>
      </c>
      <c r="C5" s="1" t="str">
        <f t="shared" si="0"/>
        <v>3000,3,100</v>
      </c>
      <c r="D5" s="1" t="str">
        <f t="shared" si="1"/>
        <v>3000,3,100</v>
      </c>
      <c r="E5" s="1" t="s">
        <v>476</v>
      </c>
      <c r="F5" s="17" t="str">
        <f t="shared" si="2"/>
        <v>2,2</v>
      </c>
      <c r="G5" s="1" t="s">
        <v>481</v>
      </c>
      <c r="H5" s="1" t="s">
        <v>482</v>
      </c>
      <c r="K5" s="1">
        <v>2</v>
      </c>
      <c r="L5" s="1">
        <v>2</v>
      </c>
      <c r="M5" s="1" t="s">
        <v>483</v>
      </c>
    </row>
    <row r="6" spans="1:13" x14ac:dyDescent="0.15">
      <c r="A6" s="1">
        <v>4</v>
      </c>
      <c r="B6" s="1">
        <v>0</v>
      </c>
      <c r="C6" s="1" t="str">
        <f t="shared" si="0"/>
        <v>3000,4,100</v>
      </c>
      <c r="D6" s="1" t="str">
        <f t="shared" si="1"/>
        <v>3000,4,100</v>
      </c>
      <c r="E6" s="1" t="s">
        <v>476</v>
      </c>
      <c r="F6" s="17" t="str">
        <f t="shared" si="2"/>
        <v>2,2</v>
      </c>
      <c r="G6" s="1" t="s">
        <v>484</v>
      </c>
      <c r="H6" s="1" t="s">
        <v>485</v>
      </c>
      <c r="K6" s="1">
        <v>2</v>
      </c>
      <c r="L6" s="1">
        <v>2</v>
      </c>
      <c r="M6" s="1" t="s">
        <v>486</v>
      </c>
    </row>
    <row r="7" spans="1:13" x14ac:dyDescent="0.15">
      <c r="A7" s="1">
        <v>5</v>
      </c>
      <c r="B7" s="1">
        <v>0</v>
      </c>
      <c r="C7" s="1" t="str">
        <f t="shared" si="0"/>
        <v>3000,5,100</v>
      </c>
      <c r="D7" s="1" t="str">
        <f t="shared" si="1"/>
        <v>3000,5,100</v>
      </c>
      <c r="E7" s="1" t="s">
        <v>476</v>
      </c>
      <c r="F7" s="17" t="str">
        <f t="shared" si="2"/>
        <v>2,2</v>
      </c>
      <c r="G7" s="1" t="s">
        <v>487</v>
      </c>
      <c r="H7" s="1" t="s">
        <v>488</v>
      </c>
      <c r="K7" s="1">
        <v>2</v>
      </c>
      <c r="L7" s="1">
        <v>2</v>
      </c>
      <c r="M7" s="1" t="s">
        <v>489</v>
      </c>
    </row>
    <row r="8" spans="1:13" x14ac:dyDescent="0.15">
      <c r="A8" s="1">
        <v>6</v>
      </c>
      <c r="B8" s="1">
        <v>0</v>
      </c>
      <c r="C8" s="1" t="str">
        <f t="shared" si="0"/>
        <v>3000,6,100</v>
      </c>
      <c r="D8" s="1" t="str">
        <f t="shared" si="1"/>
        <v>3000,6,100</v>
      </c>
      <c r="E8" s="1" t="s">
        <v>476</v>
      </c>
      <c r="F8" s="17" t="str">
        <f t="shared" si="2"/>
        <v>2,2</v>
      </c>
      <c r="G8" s="1" t="s">
        <v>490</v>
      </c>
      <c r="H8" s="1" t="s">
        <v>276</v>
      </c>
      <c r="K8" s="1">
        <v>2</v>
      </c>
      <c r="L8" s="1">
        <v>2</v>
      </c>
      <c r="M8" s="1" t="s">
        <v>491</v>
      </c>
    </row>
    <row r="9" spans="1:13" x14ac:dyDescent="0.15">
      <c r="A9" s="1">
        <v>7</v>
      </c>
      <c r="B9" s="1">
        <v>0</v>
      </c>
      <c r="C9" s="1" t="str">
        <f t="shared" si="0"/>
        <v>3000,7,100</v>
      </c>
      <c r="D9" s="1" t="str">
        <f t="shared" si="1"/>
        <v>3000,7,100</v>
      </c>
      <c r="E9" s="1" t="s">
        <v>476</v>
      </c>
      <c r="F9" s="17" t="str">
        <f t="shared" si="2"/>
        <v>2,2</v>
      </c>
      <c r="G9" s="1" t="s">
        <v>492</v>
      </c>
      <c r="H9" s="1" t="s">
        <v>493</v>
      </c>
      <c r="K9" s="1">
        <v>2</v>
      </c>
      <c r="L9" s="1">
        <v>2</v>
      </c>
      <c r="M9" s="1" t="s">
        <v>494</v>
      </c>
    </row>
  </sheetData>
  <phoneticPr fontId="9" type="noConversion"/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9"/>
  <sheetViews>
    <sheetView workbookViewId="0">
      <selection activeCell="E23" sqref="E23"/>
    </sheetView>
  </sheetViews>
  <sheetFormatPr defaultColWidth="9" defaultRowHeight="11.25" x14ac:dyDescent="0.15"/>
  <cols>
    <col min="1" max="16384" width="9" style="1"/>
  </cols>
  <sheetData>
    <row r="1" spans="1:3" x14ac:dyDescent="0.15">
      <c r="A1" s="2" t="s">
        <v>21</v>
      </c>
      <c r="B1" s="2" t="s">
        <v>495</v>
      </c>
      <c r="C1" s="1" t="s">
        <v>37</v>
      </c>
    </row>
    <row r="2" spans="1:3" x14ac:dyDescent="0.15">
      <c r="A2" s="2" t="s">
        <v>23</v>
      </c>
      <c r="B2" s="2" t="s">
        <v>496</v>
      </c>
      <c r="C2" s="2" t="s">
        <v>43</v>
      </c>
    </row>
    <row r="3" spans="1:3" x14ac:dyDescent="0.15">
      <c r="A3" s="2">
        <v>1</v>
      </c>
      <c r="B3" s="2">
        <v>0</v>
      </c>
      <c r="C3" s="2" t="s">
        <v>268</v>
      </c>
    </row>
    <row r="4" spans="1:3" x14ac:dyDescent="0.15">
      <c r="A4" s="2">
        <v>2</v>
      </c>
      <c r="B4" s="2">
        <v>0</v>
      </c>
      <c r="C4" s="2" t="s">
        <v>497</v>
      </c>
    </row>
    <row r="5" spans="1:3" x14ac:dyDescent="0.15">
      <c r="A5" s="2">
        <v>3</v>
      </c>
      <c r="B5" s="2">
        <v>0</v>
      </c>
      <c r="C5" s="2" t="s">
        <v>498</v>
      </c>
    </row>
    <row r="6" spans="1:3" x14ac:dyDescent="0.15">
      <c r="A6" s="2">
        <v>4</v>
      </c>
      <c r="B6" s="2">
        <v>0</v>
      </c>
      <c r="C6" s="2" t="s">
        <v>499</v>
      </c>
    </row>
    <row r="7" spans="1:3" x14ac:dyDescent="0.15">
      <c r="A7" s="2">
        <v>5</v>
      </c>
      <c r="B7" s="2">
        <v>0</v>
      </c>
      <c r="C7" s="2" t="s">
        <v>500</v>
      </c>
    </row>
    <row r="8" spans="1:3" x14ac:dyDescent="0.15">
      <c r="A8" s="2">
        <v>6</v>
      </c>
      <c r="B8" s="2">
        <v>1</v>
      </c>
      <c r="C8" s="2" t="s">
        <v>501</v>
      </c>
    </row>
    <row r="9" spans="1:3" x14ac:dyDescent="0.15">
      <c r="A9" s="2">
        <v>7</v>
      </c>
      <c r="B9" s="2">
        <v>2</v>
      </c>
      <c r="C9" s="2" t="s">
        <v>502</v>
      </c>
    </row>
    <row r="10" spans="1:3" x14ac:dyDescent="0.15">
      <c r="A10" s="2">
        <v>8</v>
      </c>
      <c r="B10" s="2">
        <v>3</v>
      </c>
      <c r="C10" s="2" t="s">
        <v>503</v>
      </c>
    </row>
    <row r="11" spans="1:3" x14ac:dyDescent="0.15">
      <c r="A11" s="2">
        <v>9</v>
      </c>
      <c r="B11" s="2">
        <v>4</v>
      </c>
      <c r="C11" s="2" t="s">
        <v>504</v>
      </c>
    </row>
    <row r="12" spans="1:3" x14ac:dyDescent="0.15">
      <c r="A12" s="2">
        <v>10</v>
      </c>
      <c r="B12" s="2">
        <v>5</v>
      </c>
      <c r="C12" s="2" t="s">
        <v>505</v>
      </c>
    </row>
    <row r="13" spans="1:3" x14ac:dyDescent="0.15">
      <c r="A13" s="2">
        <v>11</v>
      </c>
      <c r="B13" s="2">
        <v>1</v>
      </c>
      <c r="C13" s="2" t="s">
        <v>506</v>
      </c>
    </row>
    <row r="14" spans="1:3" x14ac:dyDescent="0.15">
      <c r="A14" s="2">
        <v>12</v>
      </c>
      <c r="B14" s="2">
        <v>2</v>
      </c>
      <c r="C14" s="2" t="s">
        <v>507</v>
      </c>
    </row>
    <row r="15" spans="1:3" x14ac:dyDescent="0.15">
      <c r="A15" s="2">
        <v>13</v>
      </c>
      <c r="B15" s="2">
        <v>3</v>
      </c>
      <c r="C15" s="2" t="s">
        <v>508</v>
      </c>
    </row>
    <row r="16" spans="1:3" x14ac:dyDescent="0.15">
      <c r="A16" s="2">
        <v>14</v>
      </c>
      <c r="B16" s="2">
        <v>4</v>
      </c>
      <c r="C16" s="2" t="s">
        <v>509</v>
      </c>
    </row>
    <row r="17" spans="1:3" x14ac:dyDescent="0.15">
      <c r="A17" s="2">
        <v>15</v>
      </c>
      <c r="B17" s="2">
        <v>5</v>
      </c>
      <c r="C17" s="2" t="s">
        <v>510</v>
      </c>
    </row>
    <row r="18" spans="1:3" x14ac:dyDescent="0.15">
      <c r="A18" s="2">
        <v>16</v>
      </c>
      <c r="B18" s="2">
        <v>0</v>
      </c>
      <c r="C18" s="2" t="s">
        <v>511</v>
      </c>
    </row>
    <row r="19" spans="1:3" x14ac:dyDescent="0.15">
      <c r="A19" s="2">
        <v>17</v>
      </c>
      <c r="B19" s="2">
        <v>0</v>
      </c>
      <c r="C19" s="2" t="s">
        <v>270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noteTotal</vt:lpstr>
      <vt:lpstr>m_TollgateConfig</vt:lpstr>
      <vt:lpstr>m_PurchaseConfig</vt:lpstr>
      <vt:lpstr>a_ActionConfig</vt:lpstr>
      <vt:lpstr>a_professionList</vt:lpstr>
      <vt:lpstr>a_skillList</vt:lpstr>
      <vt:lpstr>a_HeroList</vt:lpstr>
      <vt:lpstr>m_task</vt:lpstr>
      <vt:lpstr>m_pShops</vt:lpstr>
      <vt:lpstr>a_pGoods</vt:lpstr>
      <vt:lpstr>a_pTechList</vt:lpstr>
      <vt:lpstr>a_pTotemList</vt:lpstr>
      <vt:lpstr>a_pCPetList</vt:lpstr>
      <vt:lpstr>a_MonsterList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Fan</cp:lastModifiedBy>
  <dcterms:created xsi:type="dcterms:W3CDTF">2006-09-16T00:00:00Z</dcterms:created>
  <dcterms:modified xsi:type="dcterms:W3CDTF">2018-04-26T07:17:32Z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